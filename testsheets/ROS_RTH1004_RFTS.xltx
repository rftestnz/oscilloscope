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/>
  <workbookPr/>
  <mc:AlternateContent xmlns:mc="http://schemas.openxmlformats.org/markup-compatibility/2006">
    <mc:Choice Requires="x15">
      <x15ac:absPath xmlns:x15ac="http://schemas.microsoft.com/office/spreadsheetml/2010/11/ac" url="C:\Software\Python\EMU\datafiles\"/>
    </mc:Choice>
  </mc:AlternateContent>
  <xr:revisionPtr revIDLastSave="0" documentId="13_ncr:1_{A707CB1C-2997-4A35-8C7C-A6A90D36D9B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" sheetId="1" r:id="rId1"/>
  </sheets>
  <definedNames>
    <definedName name="_xlnm.Print_Area" localSheetId="0">Sheet!$A$1:$G$347</definedName>
    <definedName name="_xlnm.Print_Titles" localSheetId="0">Sheet!1:12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45" i="1" l="1"/>
  <c r="E344" i="1"/>
  <c r="E343" i="1"/>
  <c r="E339" i="1"/>
  <c r="E338" i="1"/>
  <c r="E337" i="1"/>
  <c r="E333" i="1"/>
  <c r="E332" i="1"/>
  <c r="E331" i="1"/>
  <c r="E326" i="1"/>
  <c r="E327" i="1"/>
  <c r="E325" i="1"/>
  <c r="F321" i="1"/>
  <c r="F317" i="1"/>
  <c r="F315" i="1"/>
  <c r="F313" i="1"/>
  <c r="F311" i="1"/>
  <c r="F306" i="1"/>
  <c r="F305" i="1"/>
  <c r="F303" i="1"/>
  <c r="F302" i="1"/>
  <c r="F300" i="1"/>
  <c r="F299" i="1"/>
  <c r="F297" i="1"/>
  <c r="F296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</calcChain>
</file>

<file path=xl/sharedStrings.xml><?xml version="1.0" encoding="utf-8"?>
<sst xmlns="http://schemas.openxmlformats.org/spreadsheetml/2006/main" count="714" uniqueCount="98">
  <si>
    <t>PERFORMANCE TEST CARD (AS RECEIVED AND AS COMPLETED</t>
  </si>
  <si>
    <t>DATE:</t>
  </si>
  <si>
    <t>REPORT NUMBER:</t>
  </si>
  <si>
    <t>MODEL NUMBER:</t>
  </si>
  <si>
    <t>RTH1004</t>
  </si>
  <si>
    <t>DESCRIPTION:</t>
  </si>
  <si>
    <t>Oscilloscope</t>
  </si>
  <si>
    <t>SERIAL NUMBER:</t>
  </si>
  <si>
    <t>MANUFACTURER:</t>
  </si>
  <si>
    <t>R&amp;S</t>
  </si>
  <si>
    <t>CUSTOMER ID CODE:</t>
  </si>
  <si>
    <t>OPTIONS:</t>
  </si>
  <si>
    <t>Nil</t>
  </si>
  <si>
    <t>HUMIDITY: (%RH)</t>
  </si>
  <si>
    <t>30 - 60</t>
  </si>
  <si>
    <t>TESTED BY:</t>
  </si>
  <si>
    <t>TEMPERATURE: (Deg C)</t>
  </si>
  <si>
    <t>23 ± 2</t>
  </si>
  <si>
    <t>REFERENCE NO.:</t>
  </si>
  <si>
    <t>RFTS_R&amp;SRTH1004</t>
  </si>
  <si>
    <t>ISSUE:</t>
  </si>
  <si>
    <t>A.00.00</t>
  </si>
  <si>
    <t>Input A Vertical Accuracy @ 6 div</t>
  </si>
  <si>
    <t>Range</t>
  </si>
  <si>
    <t>Initial Setting</t>
  </si>
  <si>
    <t>Lower Limit</t>
  </si>
  <si>
    <t>Upper Limit</t>
  </si>
  <si>
    <t>Units</t>
  </si>
  <si>
    <t>Pass/Fail</t>
  </si>
  <si>
    <t>2 mV/div</t>
  </si>
  <si>
    <t>mV</t>
  </si>
  <si>
    <t>5 mV/div</t>
  </si>
  <si>
    <t>10 mV/div</t>
  </si>
  <si>
    <t>20 mV/div</t>
  </si>
  <si>
    <t>50 mV/div</t>
  </si>
  <si>
    <t>100 mV/div</t>
  </si>
  <si>
    <t>200 mV/div</t>
  </si>
  <si>
    <t>500 mV/div</t>
  </si>
  <si>
    <t>V</t>
  </si>
  <si>
    <t>1 V/div</t>
  </si>
  <si>
    <t>2 V/div</t>
  </si>
  <si>
    <t>5 V/div</t>
  </si>
  <si>
    <t>10 V/div</t>
  </si>
  <si>
    <t>20 V/div</t>
  </si>
  <si>
    <t>50 V/div</t>
  </si>
  <si>
    <t>100 V/div</t>
  </si>
  <si>
    <t>Input B Vertical Accuracy @ 6 div</t>
  </si>
  <si>
    <t>Input C Vertical Accuracy @ 6 div</t>
  </si>
  <si>
    <t>Input D Vertical Accuracy @ 6 div</t>
  </si>
  <si>
    <t>Input A Volts DC Measurement</t>
  </si>
  <si>
    <t>Output</t>
  </si>
  <si>
    <t>Measured</t>
  </si>
  <si>
    <t>Input B Volts DC Measurement</t>
  </si>
  <si>
    <t>Input C Volts DC Measurement</t>
  </si>
  <si>
    <t>Input D Volts DC Measurement</t>
  </si>
  <si>
    <t>Input A Volts AC Measurement</t>
  </si>
  <si>
    <t>Test Conditions</t>
  </si>
  <si>
    <t>4 mV, 60 Hz</t>
  </si>
  <si>
    <t>10 mV, 60 Hz</t>
  </si>
  <si>
    <t>20 mV, 20 kHz</t>
  </si>
  <si>
    <t>40 mV, 20 kHz</t>
  </si>
  <si>
    <t>100 mV, 20 kHz</t>
  </si>
  <si>
    <t>200 mV, 20 kHz</t>
  </si>
  <si>
    <t>400 mV, 20 kHz</t>
  </si>
  <si>
    <t>900 mV, 60 Hz</t>
  </si>
  <si>
    <t>900 mV, 20 kHz</t>
  </si>
  <si>
    <t>2 V, 20 kHz</t>
  </si>
  <si>
    <t>4 V, 20 kHz</t>
  </si>
  <si>
    <t>9 V, 20 kHz</t>
  </si>
  <si>
    <t>20 V, 20 kHz</t>
  </si>
  <si>
    <t>40 V, 20 kHz</t>
  </si>
  <si>
    <t>90 V, 20 kHz</t>
  </si>
  <si>
    <t>200 V, 20 kHz</t>
  </si>
  <si>
    <t>Input B Volts AC Measurement</t>
  </si>
  <si>
    <t>Input C Volts AC Measurement</t>
  </si>
  <si>
    <t>Input D Volts AC Measurement</t>
  </si>
  <si>
    <t>AC Input Coupling Verification</t>
  </si>
  <si>
    <t>Input A</t>
  </si>
  <si>
    <t>900 mV, 5 Hz</t>
  </si>
  <si>
    <t>Input B</t>
  </si>
  <si>
    <t>Input C</t>
  </si>
  <si>
    <t>Input D</t>
  </si>
  <si>
    <t>Volts Peak Measurement</t>
  </si>
  <si>
    <t>212.13 mV, 1 kHz</t>
  </si>
  <si>
    <t>Vpp</t>
  </si>
  <si>
    <t>Sample Time and Delay</t>
  </si>
  <si>
    <t>Sample Rate &amp; Delay Time Accuracy</t>
  </si>
  <si>
    <t>Div</t>
  </si>
  <si>
    <t>END OF REPORT</t>
  </si>
  <si>
    <t>Amplitude</t>
  </si>
  <si>
    <t>Input A Bandwidth/Risetime Test</t>
  </si>
  <si>
    <t>Input B Bandwidth/Risetime Test</t>
  </si>
  <si>
    <t>Input C Bandwidth/Risetime Test</t>
  </si>
  <si>
    <t>Input D Bandwidth/Risetime Test</t>
  </si>
  <si>
    <t>1 MHz Limit</t>
  </si>
  <si>
    <t>25 MHz Limit</t>
  </si>
  <si>
    <t>200 MHz (Full)</t>
  </si>
  <si>
    <t>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</si>
</sst>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name val="Calibri"/>
    </font>
    <font>
      <b/>
      <sz val="12"/>
      <color rgb="FF000000"/>
      <name val="Calibri"/>
    </font>
    <font>
      <b/>
      <sz val="11"/>
      <color rgb="FF000000"/>
      <name val="Calibri"/>
    </font>
    <font>
      <i/>
      <sz val="11"/>
      <name val="Calibri"/>
    </font>
    <font>
      <b/>
      <sz val="11"/>
      <name val="Calibri"/>
    </font>
  </fonts>
  <fills count="4">
    <fill>
      <patternFill patternType="none"/>
    </fill>
    <fill>
      <patternFill patternType="gray125"/>
    </fill>
    <fill>
      <patternFill patternType="solid">
        <fgColor rgb="FFCCCCCC"/>
      </patternFill>
    </fill>
    <fill>
      <patternFill patternType="solid">
        <fgColor rgb="FFEEEEEE"/>
      </patternFill>
    </fill>
  </fills>
  <borders count="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left"/>
    </xf>
    <xf numFmtId="0" fontId="2" fillId="0" borderId="0" xfId="0" applyFont="1"/>
    <xf numFmtId="0" fontId="3" fillId="2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4" fillId="3" borderId="2" xfId="0" applyFont="1" applyFill="1" applyBorder="1" applyAlignment="1">
      <alignment horizontal="left"/>
    </xf>
    <xf numFmtId="0" fontId="4" fillId="3" borderId="4" xfId="0" applyFont="1" applyFill="1" applyBorder="1" applyAlignment="1">
      <alignment horizontal="center"/>
    </xf>
    <xf numFmtId="0" fontId="0" fillId="3" borderId="4" xfId="0" applyFill="1" applyBorder="1"/>
    <xf numFmtId="0" fontId="0" fillId="3" borderId="3" xfId="0" applyFill="1" applyBorder="1"/>
    <xf numFmtId="0" fontId="5" fillId="0" borderId="0" xfId="0" applyFont="1"/>
  </cellXfs>
  <cellStyles count="1">
    <cellStyle name="Normal" xfId="0" builtinId="0"/>
  </cellStyles>
  <dxfs count="550"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ill>
        <patternFill>
          <bgColor rgb="FFFF99FF"/>
        </patternFill>
      </fill>
    </dxf>
    <dxf>
      <fill>
        <patternFill>
          <bgColor rgb="FFFF99FF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  <dxf>
      <fill>
        <patternFill>
          <bgColor rgb="FFFFE699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3:G347"/>
  <sheetViews>
    <sheetView tabSelected="1" view="pageBreakPreview" topLeftCell="A2" zoomScaleNormal="100" zoomScaleSheetLayoutView="100" workbookViewId="0">
      <selection activeCell="B5" sqref="B5"/>
    </sheetView>
  </sheetViews>
  <sheetFormatPr defaultRowHeight="15" x14ac:dyDescent="0.25"/>
  <cols>
    <col min="1" max="1" width="36.28515625" customWidth="1"/>
    <col min="2" max="4" width="16" customWidth="1"/>
    <col min="5" max="5" width="18" customWidth="1"/>
    <col min="6" max="7" width="16" customWidth="1"/>
  </cols>
  <sheetData>
    <row r="3" spans="1:7" ht="15.75" x14ac:dyDescent="0.25">
      <c r="A3" s="1" t="s">
        <v>0</v>
      </c>
    </row>
    <row r="4" spans="1:7" x14ac:dyDescent="0.25">
      <c r="A4" s="2"/>
      <c r="B4" s="2"/>
      <c r="E4" s="2"/>
      <c r="F4" s="2"/>
    </row>
    <row r="5" spans="1:7" x14ac:dyDescent="0.25">
      <c r="A5" s="2" t="s">
        <v>1</v>
      </c>
      <c r="B5" s="2"/>
      <c r="E5" s="2" t="s">
        <v>2</v>
      </c>
      <c r="F5" s="2"/>
    </row>
    <row r="6" spans="1:7" x14ac:dyDescent="0.25">
      <c r="A6" s="2" t="s">
        <v>3</v>
      </c>
      <c r="B6" s="2" t="s">
        <v>4</v>
      </c>
      <c r="E6" s="2" t="s">
        <v>5</v>
      </c>
      <c r="F6" s="2" t="s">
        <v>6</v>
      </c>
    </row>
    <row r="7" spans="1:7" x14ac:dyDescent="0.25">
      <c r="A7" s="2" t="s">
        <v>7</v>
      </c>
      <c r="B7" s="2"/>
      <c r="E7" s="2" t="s">
        <v>8</v>
      </c>
      <c r="F7" s="2" t="s">
        <v>9</v>
      </c>
    </row>
    <row r="8" spans="1:7" x14ac:dyDescent="0.25">
      <c r="A8" s="2" t="s">
        <v>10</v>
      </c>
      <c r="B8" s="2"/>
      <c r="E8" s="2" t="s">
        <v>11</v>
      </c>
      <c r="F8" s="2" t="s">
        <v>12</v>
      </c>
    </row>
    <row r="9" spans="1:7" x14ac:dyDescent="0.25">
      <c r="A9" s="2" t="s">
        <v>13</v>
      </c>
      <c r="B9" s="2" t="s">
        <v>14</v>
      </c>
      <c r="E9" s="2" t="s">
        <v>15</v>
      </c>
      <c r="F9" s="2"/>
    </row>
    <row r="10" spans="1:7" x14ac:dyDescent="0.25">
      <c r="A10" s="2" t="s">
        <v>16</v>
      </c>
      <c r="B10" s="2" t="s">
        <v>17</v>
      </c>
      <c r="E10" s="2" t="s">
        <v>18</v>
      </c>
      <c r="F10" s="2" t="s">
        <v>19</v>
      </c>
    </row>
    <row r="11" spans="1:7" x14ac:dyDescent="0.25">
      <c r="A11" t="s">
        <v>20</v>
      </c>
      <c r="B11" t="s">
        <v>21</v>
      </c>
    </row>
    <row r="13" spans="1:7" ht="15.75" x14ac:dyDescent="0.25">
      <c r="A13" s="3" t="s">
        <v>22</v>
      </c>
    </row>
    <row r="14" spans="1:7" x14ac:dyDescent="0.25">
      <c r="A14" s="4" t="s">
        <v>23</v>
      </c>
      <c r="B14" s="4" t="s">
        <v>24</v>
      </c>
      <c r="C14" s="4" t="s">
        <v>25</v>
      </c>
      <c r="D14" s="4" t="s">
        <v>89</v>
      </c>
      <c r="E14" s="4" t="s">
        <v>26</v>
      </c>
      <c r="F14" s="4" t="s">
        <v>27</v>
      </c>
      <c r="G14" s="4" t="s">
        <v>28</v>
      </c>
    </row>
    <row r="15" spans="1:7" x14ac:dyDescent="0.25">
      <c r="A15" s="5" t="s">
        <v>29</v>
      </c>
      <c r="B15" s="6">
        <v>4.234</v>
      </c>
      <c r="C15" s="6">
        <v>3.9510000000000001</v>
      </c>
      <c r="D15" s="6"/>
      <c r="E15" s="6">
        <v>4.5170000000000003</v>
      </c>
      <c r="F15" s="6" t="s">
        <v>30</v>
      </c>
      <c r="G15" s="6" t="str">
        <f t="shared" ref="G15:G29" si="0">IF(ISBLANK(D15),"Not Done",IF(AND(D15&lt;=E15,D15&gt;=C15),"Pass","Fail"))</f>
        <v>Not Done</v>
      </c>
    </row>
    <row r="16" spans="1:7" x14ac:dyDescent="0.25">
      <c r="A16" s="5" t="s">
        <v>31</v>
      </c>
      <c r="B16" s="6">
        <v>10.606</v>
      </c>
      <c r="C16" s="6">
        <v>10.183</v>
      </c>
      <c r="D16" s="6"/>
      <c r="E16" s="6">
        <v>11.028</v>
      </c>
      <c r="F16" s="6" t="s">
        <v>30</v>
      </c>
      <c r="G16" s="6" t="str">
        <f t="shared" si="0"/>
        <v>Not Done</v>
      </c>
    </row>
    <row r="17" spans="1:7" x14ac:dyDescent="0.25">
      <c r="A17" s="5" t="s">
        <v>32</v>
      </c>
      <c r="B17" s="6">
        <v>21.213000000000001</v>
      </c>
      <c r="C17" s="6">
        <v>20.367999999999999</v>
      </c>
      <c r="D17" s="6"/>
      <c r="E17" s="6">
        <v>22.058</v>
      </c>
      <c r="F17" s="6" t="s">
        <v>30</v>
      </c>
      <c r="G17" s="6" t="str">
        <f t="shared" si="0"/>
        <v>Not Done</v>
      </c>
    </row>
    <row r="18" spans="1:7" x14ac:dyDescent="0.25">
      <c r="A18" s="5" t="s">
        <v>33</v>
      </c>
      <c r="B18" s="6">
        <v>42.426000000000002</v>
      </c>
      <c r="C18" s="6">
        <v>40.734999999999999</v>
      </c>
      <c r="D18" s="6"/>
      <c r="E18" s="6">
        <v>44.116999999999997</v>
      </c>
      <c r="F18" s="6" t="s">
        <v>30</v>
      </c>
      <c r="G18" s="6" t="str">
        <f t="shared" si="0"/>
        <v>Not Done</v>
      </c>
    </row>
    <row r="19" spans="1:7" x14ac:dyDescent="0.25">
      <c r="A19" s="5" t="s">
        <v>34</v>
      </c>
      <c r="B19" s="6">
        <v>106.06</v>
      </c>
      <c r="C19" s="6">
        <v>101.83</v>
      </c>
      <c r="D19" s="6"/>
      <c r="E19" s="6">
        <v>110.28</v>
      </c>
      <c r="F19" s="6" t="s">
        <v>30</v>
      </c>
      <c r="G19" s="6" t="str">
        <f t="shared" si="0"/>
        <v>Not Done</v>
      </c>
    </row>
    <row r="20" spans="1:7" x14ac:dyDescent="0.25">
      <c r="A20" s="5" t="s">
        <v>35</v>
      </c>
      <c r="B20" s="6">
        <v>212.13</v>
      </c>
      <c r="C20" s="6">
        <v>203.67</v>
      </c>
      <c r="D20" s="6"/>
      <c r="E20" s="6">
        <v>220.58</v>
      </c>
      <c r="F20" s="6" t="s">
        <v>30</v>
      </c>
      <c r="G20" s="6" t="str">
        <f t="shared" si="0"/>
        <v>Not Done</v>
      </c>
    </row>
    <row r="21" spans="1:7" x14ac:dyDescent="0.25">
      <c r="A21" s="5" t="s">
        <v>36</v>
      </c>
      <c r="B21" s="6">
        <v>424.26</v>
      </c>
      <c r="C21" s="6">
        <v>407.35</v>
      </c>
      <c r="D21" s="6"/>
      <c r="E21" s="6">
        <v>441.16</v>
      </c>
      <c r="F21" s="6" t="s">
        <v>30</v>
      </c>
      <c r="G21" s="6" t="str">
        <f t="shared" si="0"/>
        <v>Not Done</v>
      </c>
    </row>
    <row r="22" spans="1:7" x14ac:dyDescent="0.25">
      <c r="A22" s="5" t="s">
        <v>37</v>
      </c>
      <c r="B22" s="6">
        <v>1.0606</v>
      </c>
      <c r="C22" s="6">
        <v>1.0184</v>
      </c>
      <c r="D22" s="6"/>
      <c r="E22" s="6">
        <v>1.103</v>
      </c>
      <c r="F22" s="6" t="s">
        <v>38</v>
      </c>
      <c r="G22" s="6" t="str">
        <f t="shared" si="0"/>
        <v>Not Done</v>
      </c>
    </row>
    <row r="23" spans="1:7" x14ac:dyDescent="0.25">
      <c r="A23" s="5" t="s">
        <v>39</v>
      </c>
      <c r="B23" s="6">
        <v>2.1213000000000002</v>
      </c>
      <c r="C23" s="6">
        <v>2.0367000000000002</v>
      </c>
      <c r="D23" s="6"/>
      <c r="E23" s="6">
        <v>2.2058</v>
      </c>
      <c r="F23" s="6" t="s">
        <v>38</v>
      </c>
      <c r="G23" s="6" t="str">
        <f t="shared" si="0"/>
        <v>Not Done</v>
      </c>
    </row>
    <row r="24" spans="1:7" x14ac:dyDescent="0.25">
      <c r="A24" s="5" t="s">
        <v>40</v>
      </c>
      <c r="B24" s="6">
        <v>4.2426000000000004</v>
      </c>
      <c r="C24" s="6">
        <v>4.0735000000000001</v>
      </c>
      <c r="D24" s="6"/>
      <c r="E24" s="6">
        <v>4.4116999999999997</v>
      </c>
      <c r="F24" s="6" t="s">
        <v>38</v>
      </c>
      <c r="G24" s="6" t="str">
        <f t="shared" si="0"/>
        <v>Not Done</v>
      </c>
    </row>
    <row r="25" spans="1:7" x14ac:dyDescent="0.25">
      <c r="A25" s="5" t="s">
        <v>41</v>
      </c>
      <c r="B25" s="6">
        <v>10.606</v>
      </c>
      <c r="C25" s="6">
        <v>10.183</v>
      </c>
      <c r="D25" s="6"/>
      <c r="E25" s="6">
        <v>11.028</v>
      </c>
      <c r="F25" s="6" t="s">
        <v>38</v>
      </c>
      <c r="G25" s="6" t="str">
        <f t="shared" si="0"/>
        <v>Not Done</v>
      </c>
    </row>
    <row r="26" spans="1:7" x14ac:dyDescent="0.25">
      <c r="A26" s="5" t="s">
        <v>42</v>
      </c>
      <c r="B26" s="6">
        <v>21.213000000000001</v>
      </c>
      <c r="C26" s="6">
        <v>20.367999999999999</v>
      </c>
      <c r="D26" s="6"/>
      <c r="E26" s="6">
        <v>22.058</v>
      </c>
      <c r="F26" s="6" t="s">
        <v>38</v>
      </c>
      <c r="G26" s="6" t="str">
        <f t="shared" si="0"/>
        <v>Not Done</v>
      </c>
    </row>
    <row r="27" spans="1:7" x14ac:dyDescent="0.25">
      <c r="A27" s="5" t="s">
        <v>43</v>
      </c>
      <c r="B27" s="6">
        <v>42.426000000000002</v>
      </c>
      <c r="C27" s="6">
        <v>40.734999999999999</v>
      </c>
      <c r="D27" s="6"/>
      <c r="E27" s="6">
        <v>44.116999999999997</v>
      </c>
      <c r="F27" s="6" t="s">
        <v>38</v>
      </c>
      <c r="G27" s="6" t="str">
        <f t="shared" si="0"/>
        <v>Not Done</v>
      </c>
    </row>
    <row r="28" spans="1:7" x14ac:dyDescent="0.25">
      <c r="A28" s="5" t="s">
        <v>44</v>
      </c>
      <c r="B28" s="6">
        <v>106.06</v>
      </c>
      <c r="C28" s="6">
        <v>101.83</v>
      </c>
      <c r="D28" s="6"/>
      <c r="E28" s="6">
        <v>110.29</v>
      </c>
      <c r="F28" s="6" t="s">
        <v>38</v>
      </c>
      <c r="G28" s="6" t="str">
        <f t="shared" si="0"/>
        <v>Not Done</v>
      </c>
    </row>
    <row r="29" spans="1:7" x14ac:dyDescent="0.25">
      <c r="A29" s="5" t="s">
        <v>45</v>
      </c>
      <c r="B29" s="6">
        <v>212.13</v>
      </c>
      <c r="C29" s="6">
        <v>203.67</v>
      </c>
      <c r="D29" s="6"/>
      <c r="E29" s="6">
        <v>220.58</v>
      </c>
      <c r="F29" s="6" t="s">
        <v>38</v>
      </c>
      <c r="G29" s="6" t="str">
        <f t="shared" si="0"/>
        <v>Not Done</v>
      </c>
    </row>
    <row r="31" spans="1:7" ht="15.75" x14ac:dyDescent="0.25">
      <c r="A31" s="3" t="s">
        <v>46</v>
      </c>
    </row>
    <row r="32" spans="1:7" x14ac:dyDescent="0.25">
      <c r="A32" s="4" t="s">
        <v>23</v>
      </c>
      <c r="B32" s="4" t="s">
        <v>24</v>
      </c>
      <c r="C32" s="4" t="s">
        <v>25</v>
      </c>
      <c r="D32" s="4" t="s">
        <v>89</v>
      </c>
      <c r="E32" s="4" t="s">
        <v>26</v>
      </c>
      <c r="F32" s="4" t="s">
        <v>27</v>
      </c>
      <c r="G32" s="4" t="s">
        <v>28</v>
      </c>
    </row>
    <row r="33" spans="1:7" x14ac:dyDescent="0.25">
      <c r="A33" s="5" t="s">
        <v>29</v>
      </c>
      <c r="B33" s="6">
        <v>4.234</v>
      </c>
      <c r="C33" s="6">
        <v>3.9510000000000001</v>
      </c>
      <c r="D33" s="6"/>
      <c r="E33" s="6">
        <v>4.5170000000000003</v>
      </c>
      <c r="F33" s="6" t="s">
        <v>30</v>
      </c>
      <c r="G33" s="6" t="str">
        <f t="shared" ref="G33:G47" si="1">IF(ISBLANK(D33),"Not Done",IF(AND(D33&lt;=E33,D33&gt;=C33),"Pass","Fail"))</f>
        <v>Not Done</v>
      </c>
    </row>
    <row r="34" spans="1:7" x14ac:dyDescent="0.25">
      <c r="A34" s="5" t="s">
        <v>31</v>
      </c>
      <c r="B34" s="6">
        <v>10.606</v>
      </c>
      <c r="C34" s="6">
        <v>10.183</v>
      </c>
      <c r="D34" s="6"/>
      <c r="E34" s="6">
        <v>11.028</v>
      </c>
      <c r="F34" s="6" t="s">
        <v>30</v>
      </c>
      <c r="G34" s="6" t="str">
        <f t="shared" si="1"/>
        <v>Not Done</v>
      </c>
    </row>
    <row r="35" spans="1:7" x14ac:dyDescent="0.25">
      <c r="A35" s="5" t="s">
        <v>32</v>
      </c>
      <c r="B35" s="6">
        <v>21.213000000000001</v>
      </c>
      <c r="C35" s="6">
        <v>20.367999999999999</v>
      </c>
      <c r="D35" s="6"/>
      <c r="E35" s="6">
        <v>22.058</v>
      </c>
      <c r="F35" s="6" t="s">
        <v>30</v>
      </c>
      <c r="G35" s="6" t="str">
        <f t="shared" si="1"/>
        <v>Not Done</v>
      </c>
    </row>
    <row r="36" spans="1:7" x14ac:dyDescent="0.25">
      <c r="A36" s="5" t="s">
        <v>33</v>
      </c>
      <c r="B36" s="6">
        <v>42.426000000000002</v>
      </c>
      <c r="C36" s="6">
        <v>40.734999999999999</v>
      </c>
      <c r="D36" s="6"/>
      <c r="E36" s="6">
        <v>44.116999999999997</v>
      </c>
      <c r="F36" s="6" t="s">
        <v>30</v>
      </c>
      <c r="G36" s="6" t="str">
        <f t="shared" si="1"/>
        <v>Not Done</v>
      </c>
    </row>
    <row r="37" spans="1:7" x14ac:dyDescent="0.25">
      <c r="A37" s="5" t="s">
        <v>34</v>
      </c>
      <c r="B37" s="6">
        <v>106.06</v>
      </c>
      <c r="C37" s="6">
        <v>101.83</v>
      </c>
      <c r="D37" s="6"/>
      <c r="E37" s="6">
        <v>110.28</v>
      </c>
      <c r="F37" s="6" t="s">
        <v>30</v>
      </c>
      <c r="G37" s="6" t="str">
        <f t="shared" si="1"/>
        <v>Not Done</v>
      </c>
    </row>
    <row r="38" spans="1:7" x14ac:dyDescent="0.25">
      <c r="A38" s="5" t="s">
        <v>35</v>
      </c>
      <c r="B38" s="6">
        <v>212.13</v>
      </c>
      <c r="C38" s="6">
        <v>203.67</v>
      </c>
      <c r="D38" s="6"/>
      <c r="E38" s="6">
        <v>220.58</v>
      </c>
      <c r="F38" s="6" t="s">
        <v>30</v>
      </c>
      <c r="G38" s="6" t="str">
        <f t="shared" si="1"/>
        <v>Not Done</v>
      </c>
    </row>
    <row r="39" spans="1:7" x14ac:dyDescent="0.25">
      <c r="A39" s="5" t="s">
        <v>36</v>
      </c>
      <c r="B39" s="6">
        <v>424.26</v>
      </c>
      <c r="C39" s="6">
        <v>407.35</v>
      </c>
      <c r="D39" s="6"/>
      <c r="E39" s="6">
        <v>441.16</v>
      </c>
      <c r="F39" s="6" t="s">
        <v>30</v>
      </c>
      <c r="G39" s="6" t="str">
        <f t="shared" si="1"/>
        <v>Not Done</v>
      </c>
    </row>
    <row r="40" spans="1:7" x14ac:dyDescent="0.25">
      <c r="A40" s="5" t="s">
        <v>37</v>
      </c>
      <c r="B40" s="6">
        <v>1.0606</v>
      </c>
      <c r="C40" s="6">
        <v>1.0184</v>
      </c>
      <c r="D40" s="6"/>
      <c r="E40" s="6">
        <v>1.103</v>
      </c>
      <c r="F40" s="6" t="s">
        <v>38</v>
      </c>
      <c r="G40" s="6" t="str">
        <f t="shared" si="1"/>
        <v>Not Done</v>
      </c>
    </row>
    <row r="41" spans="1:7" x14ac:dyDescent="0.25">
      <c r="A41" s="5" t="s">
        <v>39</v>
      </c>
      <c r="B41" s="6">
        <v>2.1213000000000002</v>
      </c>
      <c r="C41" s="6">
        <v>2.0367000000000002</v>
      </c>
      <c r="D41" s="6"/>
      <c r="E41" s="6">
        <v>2.2058</v>
      </c>
      <c r="F41" s="6" t="s">
        <v>38</v>
      </c>
      <c r="G41" s="6" t="str">
        <f t="shared" si="1"/>
        <v>Not Done</v>
      </c>
    </row>
    <row r="42" spans="1:7" x14ac:dyDescent="0.25">
      <c r="A42" s="5" t="s">
        <v>40</v>
      </c>
      <c r="B42" s="6">
        <v>4.2426000000000004</v>
      </c>
      <c r="C42" s="6">
        <v>4.0735000000000001</v>
      </c>
      <c r="D42" s="6"/>
      <c r="E42" s="6">
        <v>4.4116999999999997</v>
      </c>
      <c r="F42" s="6" t="s">
        <v>38</v>
      </c>
      <c r="G42" s="6" t="str">
        <f t="shared" si="1"/>
        <v>Not Done</v>
      </c>
    </row>
    <row r="43" spans="1:7" x14ac:dyDescent="0.25">
      <c r="A43" s="5" t="s">
        <v>41</v>
      </c>
      <c r="B43" s="6">
        <v>10.606</v>
      </c>
      <c r="C43" s="6">
        <v>10.183</v>
      </c>
      <c r="D43" s="6"/>
      <c r="E43" s="6">
        <v>11.028</v>
      </c>
      <c r="F43" s="6" t="s">
        <v>38</v>
      </c>
      <c r="G43" s="6" t="str">
        <f t="shared" si="1"/>
        <v>Not Done</v>
      </c>
    </row>
    <row r="44" spans="1:7" x14ac:dyDescent="0.25">
      <c r="A44" s="5" t="s">
        <v>42</v>
      </c>
      <c r="B44" s="6">
        <v>21.213000000000001</v>
      </c>
      <c r="C44" s="6">
        <v>20.367999999999999</v>
      </c>
      <c r="D44" s="6"/>
      <c r="E44" s="6">
        <v>22.058</v>
      </c>
      <c r="F44" s="6" t="s">
        <v>38</v>
      </c>
      <c r="G44" s="6" t="str">
        <f t="shared" si="1"/>
        <v>Not Done</v>
      </c>
    </row>
    <row r="45" spans="1:7" x14ac:dyDescent="0.25">
      <c r="A45" s="5" t="s">
        <v>43</v>
      </c>
      <c r="B45" s="6">
        <v>42.426000000000002</v>
      </c>
      <c r="C45" s="6">
        <v>40.734999999999999</v>
      </c>
      <c r="D45" s="6"/>
      <c r="E45" s="6">
        <v>44.116999999999997</v>
      </c>
      <c r="F45" s="6" t="s">
        <v>38</v>
      </c>
      <c r="G45" s="6" t="str">
        <f t="shared" si="1"/>
        <v>Not Done</v>
      </c>
    </row>
    <row r="46" spans="1:7" x14ac:dyDescent="0.25">
      <c r="A46" s="5" t="s">
        <v>44</v>
      </c>
      <c r="B46" s="6">
        <v>106.06</v>
      </c>
      <c r="C46" s="6">
        <v>101.83</v>
      </c>
      <c r="D46" s="6"/>
      <c r="E46" s="6">
        <v>110.29</v>
      </c>
      <c r="F46" s="6" t="s">
        <v>38</v>
      </c>
      <c r="G46" s="6" t="str">
        <f t="shared" si="1"/>
        <v>Not Done</v>
      </c>
    </row>
    <row r="47" spans="1:7" x14ac:dyDescent="0.25">
      <c r="A47" s="5" t="s">
        <v>45</v>
      </c>
      <c r="B47" s="6">
        <v>212.13</v>
      </c>
      <c r="C47" s="6">
        <v>203.67</v>
      </c>
      <c r="D47" s="6"/>
      <c r="E47" s="6">
        <v>220.58</v>
      </c>
      <c r="F47" s="6" t="s">
        <v>38</v>
      </c>
      <c r="G47" s="6" t="str">
        <f t="shared" si="1"/>
        <v>Not Done</v>
      </c>
    </row>
    <row r="49" spans="1:7" ht="15.75" x14ac:dyDescent="0.25">
      <c r="A49" s="3" t="s">
        <v>47</v>
      </c>
    </row>
    <row r="50" spans="1:7" x14ac:dyDescent="0.25">
      <c r="A50" s="4" t="s">
        <v>23</v>
      </c>
      <c r="B50" s="4" t="s">
        <v>24</v>
      </c>
      <c r="C50" s="4" t="s">
        <v>25</v>
      </c>
      <c r="D50" s="4" t="s">
        <v>89</v>
      </c>
      <c r="E50" s="4" t="s">
        <v>26</v>
      </c>
      <c r="F50" s="4" t="s">
        <v>27</v>
      </c>
      <c r="G50" s="4" t="s">
        <v>28</v>
      </c>
    </row>
    <row r="51" spans="1:7" x14ac:dyDescent="0.25">
      <c r="A51" s="5" t="s">
        <v>29</v>
      </c>
      <c r="B51" s="6">
        <v>4.234</v>
      </c>
      <c r="C51" s="6">
        <v>3.9510000000000001</v>
      </c>
      <c r="D51" s="6"/>
      <c r="E51" s="6">
        <v>4.5170000000000003</v>
      </c>
      <c r="F51" s="6" t="s">
        <v>30</v>
      </c>
      <c r="G51" s="6" t="str">
        <f t="shared" ref="G51:G65" si="2">IF(ISBLANK(D51),"Not Done",IF(AND(D51&lt;=E51,D51&gt;=C51),"Pass","Fail"))</f>
        <v>Not Done</v>
      </c>
    </row>
    <row r="52" spans="1:7" x14ac:dyDescent="0.25">
      <c r="A52" s="5" t="s">
        <v>31</v>
      </c>
      <c r="B52" s="6">
        <v>10.606</v>
      </c>
      <c r="C52" s="6">
        <v>10.183</v>
      </c>
      <c r="D52" s="6"/>
      <c r="E52" s="6">
        <v>11.028</v>
      </c>
      <c r="F52" s="6" t="s">
        <v>30</v>
      </c>
      <c r="G52" s="6" t="str">
        <f t="shared" si="2"/>
        <v>Not Done</v>
      </c>
    </row>
    <row r="53" spans="1:7" x14ac:dyDescent="0.25">
      <c r="A53" s="5" t="s">
        <v>32</v>
      </c>
      <c r="B53" s="6">
        <v>21.213000000000001</v>
      </c>
      <c r="C53" s="6">
        <v>20.367999999999999</v>
      </c>
      <c r="D53" s="6"/>
      <c r="E53" s="6">
        <v>22.058</v>
      </c>
      <c r="F53" s="6" t="s">
        <v>30</v>
      </c>
      <c r="G53" s="6" t="str">
        <f t="shared" si="2"/>
        <v>Not Done</v>
      </c>
    </row>
    <row r="54" spans="1:7" x14ac:dyDescent="0.25">
      <c r="A54" s="5" t="s">
        <v>33</v>
      </c>
      <c r="B54" s="6">
        <v>42.426000000000002</v>
      </c>
      <c r="C54" s="6">
        <v>40.734999999999999</v>
      </c>
      <c r="D54" s="6"/>
      <c r="E54" s="6">
        <v>44.116999999999997</v>
      </c>
      <c r="F54" s="6" t="s">
        <v>30</v>
      </c>
      <c r="G54" s="6" t="str">
        <f t="shared" si="2"/>
        <v>Not Done</v>
      </c>
    </row>
    <row r="55" spans="1:7" x14ac:dyDescent="0.25">
      <c r="A55" s="5" t="s">
        <v>34</v>
      </c>
      <c r="B55" s="6">
        <v>106.06</v>
      </c>
      <c r="C55" s="6">
        <v>101.83</v>
      </c>
      <c r="D55" s="6"/>
      <c r="E55" s="6">
        <v>110.28</v>
      </c>
      <c r="F55" s="6" t="s">
        <v>30</v>
      </c>
      <c r="G55" s="6" t="str">
        <f t="shared" si="2"/>
        <v>Not Done</v>
      </c>
    </row>
    <row r="56" spans="1:7" x14ac:dyDescent="0.25">
      <c r="A56" s="5" t="s">
        <v>35</v>
      </c>
      <c r="B56" s="6">
        <v>212.13</v>
      </c>
      <c r="C56" s="6">
        <v>203.67</v>
      </c>
      <c r="D56" s="6"/>
      <c r="E56" s="6">
        <v>220.58</v>
      </c>
      <c r="F56" s="6" t="s">
        <v>30</v>
      </c>
      <c r="G56" s="6" t="str">
        <f t="shared" si="2"/>
        <v>Not Done</v>
      </c>
    </row>
    <row r="57" spans="1:7" x14ac:dyDescent="0.25">
      <c r="A57" s="5" t="s">
        <v>36</v>
      </c>
      <c r="B57" s="6">
        <v>424.26</v>
      </c>
      <c r="C57" s="6">
        <v>407.35</v>
      </c>
      <c r="D57" s="6"/>
      <c r="E57" s="6">
        <v>441.16</v>
      </c>
      <c r="F57" s="6" t="s">
        <v>30</v>
      </c>
      <c r="G57" s="6" t="str">
        <f t="shared" si="2"/>
        <v>Not Done</v>
      </c>
    </row>
    <row r="58" spans="1:7" x14ac:dyDescent="0.25">
      <c r="A58" s="5" t="s">
        <v>37</v>
      </c>
      <c r="B58" s="6">
        <v>1.0606</v>
      </c>
      <c r="C58" s="6">
        <v>1.0184</v>
      </c>
      <c r="D58" s="6"/>
      <c r="E58" s="6">
        <v>1.103</v>
      </c>
      <c r="F58" s="6" t="s">
        <v>38</v>
      </c>
      <c r="G58" s="6" t="str">
        <f t="shared" si="2"/>
        <v>Not Done</v>
      </c>
    </row>
    <row r="59" spans="1:7" x14ac:dyDescent="0.25">
      <c r="A59" s="5" t="s">
        <v>39</v>
      </c>
      <c r="B59" s="6">
        <v>2.1213000000000002</v>
      </c>
      <c r="C59" s="6">
        <v>2.0367000000000002</v>
      </c>
      <c r="D59" s="6"/>
      <c r="E59" s="6">
        <v>2.2058</v>
      </c>
      <c r="F59" s="6" t="s">
        <v>38</v>
      </c>
      <c r="G59" s="6" t="str">
        <f t="shared" si="2"/>
        <v>Not Done</v>
      </c>
    </row>
    <row r="60" spans="1:7" x14ac:dyDescent="0.25">
      <c r="A60" s="5" t="s">
        <v>40</v>
      </c>
      <c r="B60" s="6">
        <v>4.2426000000000004</v>
      </c>
      <c r="C60" s="6">
        <v>4.0735000000000001</v>
      </c>
      <c r="D60" s="6"/>
      <c r="E60" s="6">
        <v>4.4116999999999997</v>
      </c>
      <c r="F60" s="6" t="s">
        <v>38</v>
      </c>
      <c r="G60" s="6" t="str">
        <f t="shared" si="2"/>
        <v>Not Done</v>
      </c>
    </row>
    <row r="61" spans="1:7" x14ac:dyDescent="0.25">
      <c r="A61" s="5" t="s">
        <v>41</v>
      </c>
      <c r="B61" s="6">
        <v>10.606</v>
      </c>
      <c r="C61" s="6">
        <v>10.183</v>
      </c>
      <c r="D61" s="6"/>
      <c r="E61" s="6">
        <v>11.028</v>
      </c>
      <c r="F61" s="6" t="s">
        <v>38</v>
      </c>
      <c r="G61" s="6" t="str">
        <f t="shared" si="2"/>
        <v>Not Done</v>
      </c>
    </row>
    <row r="62" spans="1:7" x14ac:dyDescent="0.25">
      <c r="A62" s="5" t="s">
        <v>42</v>
      </c>
      <c r="B62" s="6">
        <v>21.213000000000001</v>
      </c>
      <c r="C62" s="6">
        <v>20.367999999999999</v>
      </c>
      <c r="D62" s="6"/>
      <c r="E62" s="6">
        <v>22.058</v>
      </c>
      <c r="F62" s="6" t="s">
        <v>38</v>
      </c>
      <c r="G62" s="6" t="str">
        <f t="shared" si="2"/>
        <v>Not Done</v>
      </c>
    </row>
    <row r="63" spans="1:7" x14ac:dyDescent="0.25">
      <c r="A63" s="5" t="s">
        <v>43</v>
      </c>
      <c r="B63" s="6">
        <v>42.426000000000002</v>
      </c>
      <c r="C63" s="6">
        <v>40.734999999999999</v>
      </c>
      <c r="D63" s="6"/>
      <c r="E63" s="6">
        <v>44.116999999999997</v>
      </c>
      <c r="F63" s="6" t="s">
        <v>38</v>
      </c>
      <c r="G63" s="6" t="str">
        <f t="shared" si="2"/>
        <v>Not Done</v>
      </c>
    </row>
    <row r="64" spans="1:7" x14ac:dyDescent="0.25">
      <c r="A64" s="5" t="s">
        <v>44</v>
      </c>
      <c r="B64" s="6">
        <v>106.06</v>
      </c>
      <c r="C64" s="6">
        <v>101.83</v>
      </c>
      <c r="D64" s="6"/>
      <c r="E64" s="6">
        <v>110.29</v>
      </c>
      <c r="F64" s="6" t="s">
        <v>38</v>
      </c>
      <c r="G64" s="6" t="str">
        <f t="shared" si="2"/>
        <v>Not Done</v>
      </c>
    </row>
    <row r="65" spans="1:7" x14ac:dyDescent="0.25">
      <c r="A65" s="5" t="s">
        <v>45</v>
      </c>
      <c r="B65" s="6">
        <v>212.13</v>
      </c>
      <c r="C65" s="6">
        <v>203.67</v>
      </c>
      <c r="D65" s="6"/>
      <c r="E65" s="6">
        <v>220.58</v>
      </c>
      <c r="F65" s="6" t="s">
        <v>38</v>
      </c>
      <c r="G65" s="6" t="str">
        <f t="shared" si="2"/>
        <v>Not Done</v>
      </c>
    </row>
    <row r="67" spans="1:7" ht="15.75" x14ac:dyDescent="0.25">
      <c r="A67" s="3" t="s">
        <v>48</v>
      </c>
    </row>
    <row r="68" spans="1:7" x14ac:dyDescent="0.25">
      <c r="A68" s="4" t="s">
        <v>23</v>
      </c>
      <c r="B68" s="4" t="s">
        <v>24</v>
      </c>
      <c r="C68" s="4" t="s">
        <v>25</v>
      </c>
      <c r="D68" s="4" t="s">
        <v>89</v>
      </c>
      <c r="E68" s="4" t="s">
        <v>26</v>
      </c>
      <c r="F68" s="4" t="s">
        <v>27</v>
      </c>
      <c r="G68" s="4" t="s">
        <v>28</v>
      </c>
    </row>
    <row r="69" spans="1:7" x14ac:dyDescent="0.25">
      <c r="A69" s="5" t="s">
        <v>29</v>
      </c>
      <c r="B69" s="6">
        <v>4.234</v>
      </c>
      <c r="C69" s="6">
        <v>3.9510000000000001</v>
      </c>
      <c r="D69" s="6"/>
      <c r="E69" s="6">
        <v>4.5170000000000003</v>
      </c>
      <c r="F69" s="6" t="s">
        <v>30</v>
      </c>
      <c r="G69" s="6" t="str">
        <f t="shared" ref="G69:G83" si="3">IF(ISBLANK(D69),"Not Done",IF(AND(D69&lt;=E69,D69&gt;=C69),"Pass","Fail"))</f>
        <v>Not Done</v>
      </c>
    </row>
    <row r="70" spans="1:7" x14ac:dyDescent="0.25">
      <c r="A70" s="5" t="s">
        <v>31</v>
      </c>
      <c r="B70" s="6">
        <v>10.606</v>
      </c>
      <c r="C70" s="6">
        <v>10.183</v>
      </c>
      <c r="D70" s="6"/>
      <c r="E70" s="6">
        <v>11.028</v>
      </c>
      <c r="F70" s="6" t="s">
        <v>30</v>
      </c>
      <c r="G70" s="6" t="str">
        <f t="shared" si="3"/>
        <v>Not Done</v>
      </c>
    </row>
    <row r="71" spans="1:7" x14ac:dyDescent="0.25">
      <c r="A71" s="5" t="s">
        <v>32</v>
      </c>
      <c r="B71" s="6">
        <v>21.213000000000001</v>
      </c>
      <c r="C71" s="6">
        <v>20.367999999999999</v>
      </c>
      <c r="D71" s="6"/>
      <c r="E71" s="6">
        <v>22.058</v>
      </c>
      <c r="F71" s="6" t="s">
        <v>30</v>
      </c>
      <c r="G71" s="6" t="str">
        <f t="shared" si="3"/>
        <v>Not Done</v>
      </c>
    </row>
    <row r="72" spans="1:7" x14ac:dyDescent="0.25">
      <c r="A72" s="5" t="s">
        <v>33</v>
      </c>
      <c r="B72" s="6">
        <v>42.426000000000002</v>
      </c>
      <c r="C72" s="6">
        <v>40.734999999999999</v>
      </c>
      <c r="D72" s="6"/>
      <c r="E72" s="6">
        <v>44.116999999999997</v>
      </c>
      <c r="F72" s="6" t="s">
        <v>30</v>
      </c>
      <c r="G72" s="6" t="str">
        <f t="shared" si="3"/>
        <v>Not Done</v>
      </c>
    </row>
    <row r="73" spans="1:7" x14ac:dyDescent="0.25">
      <c r="A73" s="5" t="s">
        <v>34</v>
      </c>
      <c r="B73" s="6">
        <v>106.06</v>
      </c>
      <c r="C73" s="6">
        <v>101.83</v>
      </c>
      <c r="D73" s="6"/>
      <c r="E73" s="6">
        <v>110.28</v>
      </c>
      <c r="F73" s="6" t="s">
        <v>30</v>
      </c>
      <c r="G73" s="6" t="str">
        <f t="shared" si="3"/>
        <v>Not Done</v>
      </c>
    </row>
    <row r="74" spans="1:7" x14ac:dyDescent="0.25">
      <c r="A74" s="5" t="s">
        <v>35</v>
      </c>
      <c r="B74" s="6">
        <v>212.13</v>
      </c>
      <c r="C74" s="6">
        <v>203.67</v>
      </c>
      <c r="D74" s="6"/>
      <c r="E74" s="6">
        <v>220.58</v>
      </c>
      <c r="F74" s="6" t="s">
        <v>30</v>
      </c>
      <c r="G74" s="6" t="str">
        <f t="shared" si="3"/>
        <v>Not Done</v>
      </c>
    </row>
    <row r="75" spans="1:7" x14ac:dyDescent="0.25">
      <c r="A75" s="5" t="s">
        <v>36</v>
      </c>
      <c r="B75" s="6">
        <v>424.26</v>
      </c>
      <c r="C75" s="6">
        <v>407.35</v>
      </c>
      <c r="D75" s="6"/>
      <c r="E75" s="6">
        <v>441.16</v>
      </c>
      <c r="F75" s="6" t="s">
        <v>30</v>
      </c>
      <c r="G75" s="6" t="str">
        <f t="shared" si="3"/>
        <v>Not Done</v>
      </c>
    </row>
    <row r="76" spans="1:7" x14ac:dyDescent="0.25">
      <c r="A76" s="5" t="s">
        <v>37</v>
      </c>
      <c r="B76" s="6">
        <v>1.0606</v>
      </c>
      <c r="C76" s="6">
        <v>1.0184</v>
      </c>
      <c r="D76" s="6"/>
      <c r="E76" s="6">
        <v>1.103</v>
      </c>
      <c r="F76" s="6" t="s">
        <v>38</v>
      </c>
      <c r="G76" s="6" t="str">
        <f t="shared" si="3"/>
        <v>Not Done</v>
      </c>
    </row>
    <row r="77" spans="1:7" x14ac:dyDescent="0.25">
      <c r="A77" s="5" t="s">
        <v>39</v>
      </c>
      <c r="B77" s="6">
        <v>2.1213000000000002</v>
      </c>
      <c r="C77" s="6">
        <v>2.0367000000000002</v>
      </c>
      <c r="D77" s="6"/>
      <c r="E77" s="6">
        <v>2.2058</v>
      </c>
      <c r="F77" s="6" t="s">
        <v>38</v>
      </c>
      <c r="G77" s="6" t="str">
        <f t="shared" si="3"/>
        <v>Not Done</v>
      </c>
    </row>
    <row r="78" spans="1:7" x14ac:dyDescent="0.25">
      <c r="A78" s="5" t="s">
        <v>40</v>
      </c>
      <c r="B78" s="6">
        <v>4.2426000000000004</v>
      </c>
      <c r="C78" s="6">
        <v>4.0735000000000001</v>
      </c>
      <c r="D78" s="6"/>
      <c r="E78" s="6">
        <v>4.4116999999999997</v>
      </c>
      <c r="F78" s="6" t="s">
        <v>38</v>
      </c>
      <c r="G78" s="6" t="str">
        <f t="shared" si="3"/>
        <v>Not Done</v>
      </c>
    </row>
    <row r="79" spans="1:7" x14ac:dyDescent="0.25">
      <c r="A79" s="5" t="s">
        <v>41</v>
      </c>
      <c r="B79" s="6">
        <v>10.606</v>
      </c>
      <c r="C79" s="6">
        <v>10.183</v>
      </c>
      <c r="D79" s="6"/>
      <c r="E79" s="6">
        <v>11.028</v>
      </c>
      <c r="F79" s="6" t="s">
        <v>38</v>
      </c>
      <c r="G79" s="6" t="str">
        <f t="shared" si="3"/>
        <v>Not Done</v>
      </c>
    </row>
    <row r="80" spans="1:7" x14ac:dyDescent="0.25">
      <c r="A80" s="5" t="s">
        <v>42</v>
      </c>
      <c r="B80" s="6">
        <v>21.213000000000001</v>
      </c>
      <c r="C80" s="6">
        <v>20.367999999999999</v>
      </c>
      <c r="D80" s="6"/>
      <c r="E80" s="6">
        <v>22.058</v>
      </c>
      <c r="F80" s="6" t="s">
        <v>38</v>
      </c>
      <c r="G80" s="6" t="str">
        <f t="shared" si="3"/>
        <v>Not Done</v>
      </c>
    </row>
    <row r="81" spans="1:7" x14ac:dyDescent="0.25">
      <c r="A81" s="5" t="s">
        <v>43</v>
      </c>
      <c r="B81" s="6">
        <v>42.426000000000002</v>
      </c>
      <c r="C81" s="6">
        <v>40.734999999999999</v>
      </c>
      <c r="D81" s="6"/>
      <c r="E81" s="6">
        <v>44.116999999999997</v>
      </c>
      <c r="F81" s="6" t="s">
        <v>38</v>
      </c>
      <c r="G81" s="6" t="str">
        <f t="shared" si="3"/>
        <v>Not Done</v>
      </c>
    </row>
    <row r="82" spans="1:7" x14ac:dyDescent="0.25">
      <c r="A82" s="5" t="s">
        <v>44</v>
      </c>
      <c r="B82" s="6">
        <v>106.06</v>
      </c>
      <c r="C82" s="6">
        <v>101.83</v>
      </c>
      <c r="D82" s="6"/>
      <c r="E82" s="6">
        <v>110.29</v>
      </c>
      <c r="F82" s="6" t="s">
        <v>38</v>
      </c>
      <c r="G82" s="6" t="str">
        <f t="shared" si="3"/>
        <v>Not Done</v>
      </c>
    </row>
    <row r="83" spans="1:7" x14ac:dyDescent="0.25">
      <c r="A83" s="5" t="s">
        <v>45</v>
      </c>
      <c r="B83" s="6">
        <v>212.13</v>
      </c>
      <c r="C83" s="6">
        <v>203.67</v>
      </c>
      <c r="D83" s="6"/>
      <c r="E83" s="6">
        <v>220.58</v>
      </c>
      <c r="F83" s="6" t="s">
        <v>38</v>
      </c>
      <c r="G83" s="6" t="str">
        <f t="shared" si="3"/>
        <v>Not Done</v>
      </c>
    </row>
    <row r="85" spans="1:7" ht="15.75" x14ac:dyDescent="0.25">
      <c r="A85" s="3" t="s">
        <v>49</v>
      </c>
    </row>
    <row r="86" spans="1:7" x14ac:dyDescent="0.25">
      <c r="A86" s="4" t="s">
        <v>23</v>
      </c>
      <c r="B86" s="4" t="s">
        <v>50</v>
      </c>
      <c r="C86" s="4" t="s">
        <v>25</v>
      </c>
      <c r="D86" s="4" t="s">
        <v>51</v>
      </c>
      <c r="E86" s="4" t="s">
        <v>26</v>
      </c>
      <c r="F86" s="4" t="s">
        <v>27</v>
      </c>
      <c r="G86" s="4" t="s">
        <v>28</v>
      </c>
    </row>
    <row r="87" spans="1:7" x14ac:dyDescent="0.25">
      <c r="A87" s="5" t="s">
        <v>29</v>
      </c>
      <c r="B87" s="6">
        <v>6</v>
      </c>
      <c r="C87" s="6">
        <v>4.9000000000000004</v>
      </c>
      <c r="D87" s="6"/>
      <c r="E87" s="6">
        <v>7.1</v>
      </c>
      <c r="F87" s="6" t="s">
        <v>30</v>
      </c>
      <c r="G87" s="6" t="str">
        <f t="shared" ref="G87:G116" si="4">IF(ISBLANK(D87),"Not Done",IF(AND(D87&lt;=E87,D87&gt;=C87),"Pass","Fail"))</f>
        <v>Not Done</v>
      </c>
    </row>
    <row r="88" spans="1:7" x14ac:dyDescent="0.25">
      <c r="A88" s="5"/>
      <c r="B88" s="6">
        <v>-6</v>
      </c>
      <c r="C88" s="6">
        <v>-7.1</v>
      </c>
      <c r="D88" s="6"/>
      <c r="E88" s="6">
        <v>-4.9000000000000004</v>
      </c>
      <c r="F88" s="6" t="s">
        <v>30</v>
      </c>
      <c r="G88" s="6" t="str">
        <f t="shared" si="4"/>
        <v>Not Done</v>
      </c>
    </row>
    <row r="89" spans="1:7" x14ac:dyDescent="0.25">
      <c r="A89" s="5" t="s">
        <v>31</v>
      </c>
      <c r="B89" s="6">
        <v>15</v>
      </c>
      <c r="C89" s="6">
        <v>14.3</v>
      </c>
      <c r="D89" s="6"/>
      <c r="E89" s="6">
        <v>15.7</v>
      </c>
      <c r="F89" s="6" t="s">
        <v>30</v>
      </c>
      <c r="G89" s="6" t="str">
        <f t="shared" si="4"/>
        <v>Not Done</v>
      </c>
    </row>
    <row r="90" spans="1:7" x14ac:dyDescent="0.25">
      <c r="A90" s="5"/>
      <c r="B90" s="6">
        <v>-15</v>
      </c>
      <c r="C90" s="6">
        <v>-15.7</v>
      </c>
      <c r="D90" s="6"/>
      <c r="E90" s="6">
        <v>-14.3</v>
      </c>
      <c r="F90" s="6" t="s">
        <v>30</v>
      </c>
      <c r="G90" s="6" t="str">
        <f t="shared" si="4"/>
        <v>Not Done</v>
      </c>
    </row>
    <row r="91" spans="1:7" x14ac:dyDescent="0.25">
      <c r="A91" s="5" t="s">
        <v>32</v>
      </c>
      <c r="B91" s="6">
        <v>30</v>
      </c>
      <c r="C91" s="6">
        <v>29</v>
      </c>
      <c r="D91" s="6"/>
      <c r="E91" s="6">
        <v>31</v>
      </c>
      <c r="F91" s="6" t="s">
        <v>30</v>
      </c>
      <c r="G91" s="6" t="str">
        <f t="shared" si="4"/>
        <v>Not Done</v>
      </c>
    </row>
    <row r="92" spans="1:7" x14ac:dyDescent="0.25">
      <c r="A92" s="5"/>
      <c r="B92" s="6">
        <v>-30</v>
      </c>
      <c r="C92" s="6">
        <v>-31</v>
      </c>
      <c r="D92" s="6"/>
      <c r="E92" s="6">
        <v>-29</v>
      </c>
      <c r="F92" s="6" t="s">
        <v>30</v>
      </c>
      <c r="G92" s="6" t="str">
        <f t="shared" si="4"/>
        <v>Not Done</v>
      </c>
    </row>
    <row r="93" spans="1:7" x14ac:dyDescent="0.25">
      <c r="A93" s="5" t="s">
        <v>33</v>
      </c>
      <c r="B93" s="6">
        <v>60</v>
      </c>
      <c r="C93" s="6">
        <v>58.5</v>
      </c>
      <c r="D93" s="6"/>
      <c r="E93" s="6">
        <v>61.5</v>
      </c>
      <c r="F93" s="6" t="s">
        <v>30</v>
      </c>
      <c r="G93" s="6" t="str">
        <f t="shared" si="4"/>
        <v>Not Done</v>
      </c>
    </row>
    <row r="94" spans="1:7" x14ac:dyDescent="0.25">
      <c r="A94" s="5"/>
      <c r="B94" s="6">
        <v>-60</v>
      </c>
      <c r="C94" s="6">
        <v>-61.5</v>
      </c>
      <c r="D94" s="6"/>
      <c r="E94" s="6">
        <v>-58.5</v>
      </c>
      <c r="F94" s="6" t="s">
        <v>30</v>
      </c>
      <c r="G94" s="6" t="str">
        <f t="shared" si="4"/>
        <v>Not Done</v>
      </c>
    </row>
    <row r="95" spans="1:7" x14ac:dyDescent="0.25">
      <c r="A95" s="5" t="s">
        <v>34</v>
      </c>
      <c r="B95" s="6">
        <v>150</v>
      </c>
      <c r="C95" s="6">
        <v>143</v>
      </c>
      <c r="D95" s="6"/>
      <c r="E95" s="6">
        <v>157</v>
      </c>
      <c r="F95" s="6" t="s">
        <v>30</v>
      </c>
      <c r="G95" s="6" t="str">
        <f t="shared" si="4"/>
        <v>Not Done</v>
      </c>
    </row>
    <row r="96" spans="1:7" x14ac:dyDescent="0.25">
      <c r="A96" s="5"/>
      <c r="B96" s="6">
        <v>-150</v>
      </c>
      <c r="C96" s="6">
        <v>-157</v>
      </c>
      <c r="D96" s="6"/>
      <c r="E96" s="6">
        <v>-143</v>
      </c>
      <c r="F96" s="6" t="s">
        <v>30</v>
      </c>
      <c r="G96" s="6" t="str">
        <f t="shared" si="4"/>
        <v>Not Done</v>
      </c>
    </row>
    <row r="97" spans="1:7" x14ac:dyDescent="0.25">
      <c r="A97" s="5" t="s">
        <v>35</v>
      </c>
      <c r="B97" s="6">
        <v>300</v>
      </c>
      <c r="C97" s="6">
        <v>290</v>
      </c>
      <c r="D97" s="6"/>
      <c r="E97" s="6">
        <v>310</v>
      </c>
      <c r="F97" s="6" t="s">
        <v>30</v>
      </c>
      <c r="G97" s="6" t="str">
        <f t="shared" si="4"/>
        <v>Not Done</v>
      </c>
    </row>
    <row r="98" spans="1:7" x14ac:dyDescent="0.25">
      <c r="A98" s="5"/>
      <c r="B98" s="6">
        <v>-300</v>
      </c>
      <c r="C98" s="6">
        <v>-310</v>
      </c>
      <c r="D98" s="6"/>
      <c r="E98" s="6">
        <v>-290</v>
      </c>
      <c r="F98" s="6" t="s">
        <v>30</v>
      </c>
      <c r="G98" s="6" t="str">
        <f t="shared" si="4"/>
        <v>Not Done</v>
      </c>
    </row>
    <row r="99" spans="1:7" x14ac:dyDescent="0.25">
      <c r="A99" s="5" t="s">
        <v>36</v>
      </c>
      <c r="B99" s="6">
        <v>600</v>
      </c>
      <c r="C99" s="6">
        <v>585</v>
      </c>
      <c r="D99" s="6"/>
      <c r="E99" s="6">
        <v>615</v>
      </c>
      <c r="F99" s="6" t="s">
        <v>30</v>
      </c>
      <c r="G99" s="6" t="str">
        <f t="shared" si="4"/>
        <v>Not Done</v>
      </c>
    </row>
    <row r="100" spans="1:7" x14ac:dyDescent="0.25">
      <c r="A100" s="5"/>
      <c r="B100" s="6">
        <v>-600</v>
      </c>
      <c r="C100" s="6">
        <v>-615</v>
      </c>
      <c r="D100" s="6"/>
      <c r="E100" s="6">
        <v>-585</v>
      </c>
      <c r="F100" s="6" t="s">
        <v>30</v>
      </c>
      <c r="G100" s="6" t="str">
        <f t="shared" si="4"/>
        <v>Not Done</v>
      </c>
    </row>
    <row r="101" spans="1:7" x14ac:dyDescent="0.25">
      <c r="A101" s="5" t="s">
        <v>37</v>
      </c>
      <c r="B101" s="6">
        <v>1.5</v>
      </c>
      <c r="C101" s="6">
        <v>1.43</v>
      </c>
      <c r="D101" s="6"/>
      <c r="E101" s="6">
        <v>1.57</v>
      </c>
      <c r="F101" s="6" t="s">
        <v>38</v>
      </c>
      <c r="G101" s="6" t="str">
        <f t="shared" si="4"/>
        <v>Not Done</v>
      </c>
    </row>
    <row r="102" spans="1:7" x14ac:dyDescent="0.25">
      <c r="A102" s="5"/>
      <c r="B102" s="6">
        <v>-1.5</v>
      </c>
      <c r="C102" s="6">
        <v>-1.57</v>
      </c>
      <c r="D102" s="6"/>
      <c r="E102" s="6">
        <v>-1.43</v>
      </c>
      <c r="F102" s="6" t="s">
        <v>38</v>
      </c>
      <c r="G102" s="6" t="str">
        <f t="shared" si="4"/>
        <v>Not Done</v>
      </c>
    </row>
    <row r="103" spans="1:7" x14ac:dyDescent="0.25">
      <c r="A103" s="5" t="s">
        <v>39</v>
      </c>
      <c r="B103" s="6">
        <v>3</v>
      </c>
      <c r="C103" s="6">
        <v>2.9</v>
      </c>
      <c r="D103" s="6"/>
      <c r="E103" s="6">
        <v>3.1</v>
      </c>
      <c r="F103" s="6" t="s">
        <v>38</v>
      </c>
      <c r="G103" s="6" t="str">
        <f t="shared" si="4"/>
        <v>Not Done</v>
      </c>
    </row>
    <row r="104" spans="1:7" x14ac:dyDescent="0.25">
      <c r="A104" s="5"/>
      <c r="B104" s="6">
        <v>-3</v>
      </c>
      <c r="C104" s="6">
        <v>-3.1</v>
      </c>
      <c r="D104" s="6"/>
      <c r="E104" s="6">
        <v>-2.9</v>
      </c>
      <c r="F104" s="6" t="s">
        <v>38</v>
      </c>
      <c r="G104" s="6" t="str">
        <f t="shared" si="4"/>
        <v>Not Done</v>
      </c>
    </row>
    <row r="105" spans="1:7" x14ac:dyDescent="0.25">
      <c r="A105" s="5" t="s">
        <v>40</v>
      </c>
      <c r="B105" s="6">
        <v>6</v>
      </c>
      <c r="C105" s="6">
        <v>5.86</v>
      </c>
      <c r="D105" s="6"/>
      <c r="E105" s="6">
        <v>6.14</v>
      </c>
      <c r="F105" s="6" t="s">
        <v>38</v>
      </c>
      <c r="G105" s="6" t="str">
        <f t="shared" si="4"/>
        <v>Not Done</v>
      </c>
    </row>
    <row r="106" spans="1:7" x14ac:dyDescent="0.25">
      <c r="A106" s="5"/>
      <c r="B106" s="6">
        <v>-6</v>
      </c>
      <c r="C106" s="6">
        <v>-6.14</v>
      </c>
      <c r="D106" s="6"/>
      <c r="E106" s="6">
        <v>-5.86</v>
      </c>
      <c r="F106" s="6" t="s">
        <v>38</v>
      </c>
      <c r="G106" s="6" t="str">
        <f t="shared" si="4"/>
        <v>Not Done</v>
      </c>
    </row>
    <row r="107" spans="1:7" x14ac:dyDescent="0.25">
      <c r="A107" s="5" t="s">
        <v>41</v>
      </c>
      <c r="B107" s="6">
        <v>15</v>
      </c>
      <c r="C107" s="6">
        <v>14.3</v>
      </c>
      <c r="D107" s="6"/>
      <c r="E107" s="6">
        <v>15.7</v>
      </c>
      <c r="F107" s="6" t="s">
        <v>38</v>
      </c>
      <c r="G107" s="6" t="str">
        <f t="shared" si="4"/>
        <v>Not Done</v>
      </c>
    </row>
    <row r="108" spans="1:7" x14ac:dyDescent="0.25">
      <c r="A108" s="5"/>
      <c r="B108" s="6">
        <v>-15</v>
      </c>
      <c r="C108" s="6">
        <v>-15.7</v>
      </c>
      <c r="D108" s="6"/>
      <c r="E108" s="6">
        <v>-14.3</v>
      </c>
      <c r="F108" s="6" t="s">
        <v>38</v>
      </c>
      <c r="G108" s="6" t="str">
        <f t="shared" si="4"/>
        <v>Not Done</v>
      </c>
    </row>
    <row r="109" spans="1:7" x14ac:dyDescent="0.25">
      <c r="A109" s="5" t="s">
        <v>42</v>
      </c>
      <c r="B109" s="6">
        <v>30</v>
      </c>
      <c r="C109" s="6">
        <v>29</v>
      </c>
      <c r="D109" s="6"/>
      <c r="E109" s="6">
        <v>31</v>
      </c>
      <c r="F109" s="6" t="s">
        <v>38</v>
      </c>
      <c r="G109" s="6" t="str">
        <f t="shared" si="4"/>
        <v>Not Done</v>
      </c>
    </row>
    <row r="110" spans="1:7" x14ac:dyDescent="0.25">
      <c r="A110" s="5"/>
      <c r="B110" s="6">
        <v>-30</v>
      </c>
      <c r="C110" s="6">
        <v>-31</v>
      </c>
      <c r="D110" s="6"/>
      <c r="E110" s="6">
        <v>-29</v>
      </c>
      <c r="F110" s="6" t="s">
        <v>38</v>
      </c>
      <c r="G110" s="6" t="str">
        <f t="shared" si="4"/>
        <v>Not Done</v>
      </c>
    </row>
    <row r="111" spans="1:7" x14ac:dyDescent="0.25">
      <c r="A111" s="5" t="s">
        <v>43</v>
      </c>
      <c r="B111" s="6">
        <v>60</v>
      </c>
      <c r="C111" s="6">
        <v>58.6</v>
      </c>
      <c r="D111" s="6"/>
      <c r="E111" s="6">
        <v>61.4</v>
      </c>
      <c r="F111" s="6" t="s">
        <v>38</v>
      </c>
      <c r="G111" s="6" t="str">
        <f t="shared" si="4"/>
        <v>Not Done</v>
      </c>
    </row>
    <row r="112" spans="1:7" x14ac:dyDescent="0.25">
      <c r="A112" s="5"/>
      <c r="B112" s="6">
        <v>-60</v>
      </c>
      <c r="C112" s="6">
        <v>-61.4</v>
      </c>
      <c r="D112" s="6"/>
      <c r="E112" s="6">
        <v>-58.6</v>
      </c>
      <c r="F112" s="6" t="s">
        <v>38</v>
      </c>
      <c r="G112" s="6" t="str">
        <f t="shared" si="4"/>
        <v>Not Done</v>
      </c>
    </row>
    <row r="113" spans="1:7" x14ac:dyDescent="0.25">
      <c r="A113" s="5" t="s">
        <v>44</v>
      </c>
      <c r="B113" s="6">
        <v>150</v>
      </c>
      <c r="C113" s="6">
        <v>143</v>
      </c>
      <c r="D113" s="6"/>
      <c r="E113" s="6">
        <v>157</v>
      </c>
      <c r="F113" s="6" t="s">
        <v>38</v>
      </c>
      <c r="G113" s="6" t="str">
        <f t="shared" si="4"/>
        <v>Not Done</v>
      </c>
    </row>
    <row r="114" spans="1:7" x14ac:dyDescent="0.25">
      <c r="A114" s="5"/>
      <c r="B114" s="6">
        <v>-150</v>
      </c>
      <c r="C114" s="6">
        <v>-157</v>
      </c>
      <c r="D114" s="6"/>
      <c r="E114" s="6">
        <v>-143</v>
      </c>
      <c r="F114" s="6" t="s">
        <v>38</v>
      </c>
      <c r="G114" s="6" t="str">
        <f t="shared" si="4"/>
        <v>Not Done</v>
      </c>
    </row>
    <row r="115" spans="1:7" x14ac:dyDescent="0.25">
      <c r="A115" s="5" t="s">
        <v>45</v>
      </c>
      <c r="B115" s="6">
        <v>300</v>
      </c>
      <c r="C115" s="6">
        <v>290</v>
      </c>
      <c r="D115" s="6"/>
      <c r="E115" s="6">
        <v>310</v>
      </c>
      <c r="F115" s="6" t="s">
        <v>38</v>
      </c>
      <c r="G115" s="6" t="str">
        <f t="shared" si="4"/>
        <v>Not Done</v>
      </c>
    </row>
    <row r="116" spans="1:7" x14ac:dyDescent="0.25">
      <c r="A116" s="5"/>
      <c r="B116" s="6">
        <v>-300</v>
      </c>
      <c r="C116" s="6">
        <v>-310</v>
      </c>
      <c r="D116" s="6"/>
      <c r="E116" s="6">
        <v>-290</v>
      </c>
      <c r="F116" s="6" t="s">
        <v>38</v>
      </c>
      <c r="G116" s="6" t="str">
        <f t="shared" si="4"/>
        <v>Not Done</v>
      </c>
    </row>
    <row r="118" spans="1:7" ht="15.75" x14ac:dyDescent="0.25">
      <c r="A118" s="3" t="s">
        <v>52</v>
      </c>
    </row>
    <row r="119" spans="1:7" x14ac:dyDescent="0.25">
      <c r="A119" s="4" t="s">
        <v>23</v>
      </c>
      <c r="B119" s="4" t="s">
        <v>50</v>
      </c>
      <c r="C119" s="4" t="s">
        <v>25</v>
      </c>
      <c r="D119" s="4" t="s">
        <v>51</v>
      </c>
      <c r="E119" s="4" t="s">
        <v>26</v>
      </c>
      <c r="F119" s="4" t="s">
        <v>27</v>
      </c>
      <c r="G119" s="4" t="s">
        <v>28</v>
      </c>
    </row>
    <row r="120" spans="1:7" x14ac:dyDescent="0.25">
      <c r="A120" s="5" t="s">
        <v>29</v>
      </c>
      <c r="B120" s="6">
        <v>6</v>
      </c>
      <c r="C120" s="6">
        <v>4.9000000000000004</v>
      </c>
      <c r="D120" s="6"/>
      <c r="E120" s="6">
        <v>7.1</v>
      </c>
      <c r="F120" s="6" t="s">
        <v>30</v>
      </c>
      <c r="G120" s="6" t="str">
        <f t="shared" ref="G120:G149" si="5">IF(ISBLANK(D120),"Not Done",IF(AND(D120&lt;=E120,D120&gt;=C120),"Pass","Fail"))</f>
        <v>Not Done</v>
      </c>
    </row>
    <row r="121" spans="1:7" x14ac:dyDescent="0.25">
      <c r="A121" s="5"/>
      <c r="B121" s="6">
        <v>-6</v>
      </c>
      <c r="C121" s="6">
        <v>-7.1</v>
      </c>
      <c r="D121" s="6"/>
      <c r="E121" s="6">
        <v>-4.9000000000000004</v>
      </c>
      <c r="F121" s="6" t="s">
        <v>30</v>
      </c>
      <c r="G121" s="6" t="str">
        <f t="shared" si="5"/>
        <v>Not Done</v>
      </c>
    </row>
    <row r="122" spans="1:7" x14ac:dyDescent="0.25">
      <c r="A122" s="5" t="s">
        <v>31</v>
      </c>
      <c r="B122" s="6">
        <v>15</v>
      </c>
      <c r="C122" s="6">
        <v>14.3</v>
      </c>
      <c r="D122" s="6"/>
      <c r="E122" s="6">
        <v>15.7</v>
      </c>
      <c r="F122" s="6" t="s">
        <v>30</v>
      </c>
      <c r="G122" s="6" t="str">
        <f t="shared" si="5"/>
        <v>Not Done</v>
      </c>
    </row>
    <row r="123" spans="1:7" x14ac:dyDescent="0.25">
      <c r="A123" s="5"/>
      <c r="B123" s="6">
        <v>-15</v>
      </c>
      <c r="C123" s="6">
        <v>-15.7</v>
      </c>
      <c r="D123" s="6"/>
      <c r="E123" s="6">
        <v>-14.3</v>
      </c>
      <c r="F123" s="6" t="s">
        <v>30</v>
      </c>
      <c r="G123" s="6" t="str">
        <f t="shared" si="5"/>
        <v>Not Done</v>
      </c>
    </row>
    <row r="124" spans="1:7" x14ac:dyDescent="0.25">
      <c r="A124" s="5" t="s">
        <v>32</v>
      </c>
      <c r="B124" s="6">
        <v>30</v>
      </c>
      <c r="C124" s="6">
        <v>29</v>
      </c>
      <c r="D124" s="6"/>
      <c r="E124" s="6">
        <v>31</v>
      </c>
      <c r="F124" s="6" t="s">
        <v>30</v>
      </c>
      <c r="G124" s="6" t="str">
        <f t="shared" si="5"/>
        <v>Not Done</v>
      </c>
    </row>
    <row r="125" spans="1:7" x14ac:dyDescent="0.25">
      <c r="A125" s="5"/>
      <c r="B125" s="6">
        <v>-30</v>
      </c>
      <c r="C125" s="6">
        <v>-31</v>
      </c>
      <c r="D125" s="6"/>
      <c r="E125" s="6">
        <v>-29</v>
      </c>
      <c r="F125" s="6" t="s">
        <v>30</v>
      </c>
      <c r="G125" s="6" t="str">
        <f t="shared" si="5"/>
        <v>Not Done</v>
      </c>
    </row>
    <row r="126" spans="1:7" x14ac:dyDescent="0.25">
      <c r="A126" s="5" t="s">
        <v>33</v>
      </c>
      <c r="B126" s="6">
        <v>60</v>
      </c>
      <c r="C126" s="6">
        <v>58.5</v>
      </c>
      <c r="D126" s="6"/>
      <c r="E126" s="6">
        <v>61.5</v>
      </c>
      <c r="F126" s="6" t="s">
        <v>30</v>
      </c>
      <c r="G126" s="6" t="str">
        <f t="shared" si="5"/>
        <v>Not Done</v>
      </c>
    </row>
    <row r="127" spans="1:7" x14ac:dyDescent="0.25">
      <c r="A127" s="5"/>
      <c r="B127" s="6">
        <v>-60</v>
      </c>
      <c r="C127" s="6">
        <v>-61.5</v>
      </c>
      <c r="D127" s="6"/>
      <c r="E127" s="6">
        <v>-58.5</v>
      </c>
      <c r="F127" s="6" t="s">
        <v>30</v>
      </c>
      <c r="G127" s="6" t="str">
        <f t="shared" si="5"/>
        <v>Not Done</v>
      </c>
    </row>
    <row r="128" spans="1:7" x14ac:dyDescent="0.25">
      <c r="A128" s="5" t="s">
        <v>34</v>
      </c>
      <c r="B128" s="6">
        <v>150</v>
      </c>
      <c r="C128" s="6">
        <v>143</v>
      </c>
      <c r="D128" s="6"/>
      <c r="E128" s="6">
        <v>157</v>
      </c>
      <c r="F128" s="6" t="s">
        <v>30</v>
      </c>
      <c r="G128" s="6" t="str">
        <f t="shared" si="5"/>
        <v>Not Done</v>
      </c>
    </row>
    <row r="129" spans="1:7" x14ac:dyDescent="0.25">
      <c r="A129" s="5"/>
      <c r="B129" s="6">
        <v>-150</v>
      </c>
      <c r="C129" s="6">
        <v>-157</v>
      </c>
      <c r="D129" s="6"/>
      <c r="E129" s="6">
        <v>-143</v>
      </c>
      <c r="F129" s="6" t="s">
        <v>30</v>
      </c>
      <c r="G129" s="6" t="str">
        <f t="shared" si="5"/>
        <v>Not Done</v>
      </c>
    </row>
    <row r="130" spans="1:7" x14ac:dyDescent="0.25">
      <c r="A130" s="5" t="s">
        <v>35</v>
      </c>
      <c r="B130" s="6">
        <v>300</v>
      </c>
      <c r="C130" s="6">
        <v>290</v>
      </c>
      <c r="D130" s="6"/>
      <c r="E130" s="6">
        <v>310</v>
      </c>
      <c r="F130" s="6" t="s">
        <v>30</v>
      </c>
      <c r="G130" s="6" t="str">
        <f t="shared" si="5"/>
        <v>Not Done</v>
      </c>
    </row>
    <row r="131" spans="1:7" x14ac:dyDescent="0.25">
      <c r="A131" s="5"/>
      <c r="B131" s="6">
        <v>-300</v>
      </c>
      <c r="C131" s="6">
        <v>-310</v>
      </c>
      <c r="D131" s="6"/>
      <c r="E131" s="6">
        <v>-290</v>
      </c>
      <c r="F131" s="6" t="s">
        <v>30</v>
      </c>
      <c r="G131" s="6" t="str">
        <f t="shared" si="5"/>
        <v>Not Done</v>
      </c>
    </row>
    <row r="132" spans="1:7" x14ac:dyDescent="0.25">
      <c r="A132" s="5" t="s">
        <v>36</v>
      </c>
      <c r="B132" s="6">
        <v>600</v>
      </c>
      <c r="C132" s="6">
        <v>585</v>
      </c>
      <c r="D132" s="6"/>
      <c r="E132" s="6">
        <v>615</v>
      </c>
      <c r="F132" s="6" t="s">
        <v>30</v>
      </c>
      <c r="G132" s="6" t="str">
        <f t="shared" si="5"/>
        <v>Not Done</v>
      </c>
    </row>
    <row r="133" spans="1:7" x14ac:dyDescent="0.25">
      <c r="A133" s="5"/>
      <c r="B133" s="6">
        <v>-600</v>
      </c>
      <c r="C133" s="6">
        <v>-615</v>
      </c>
      <c r="D133" s="6"/>
      <c r="E133" s="6">
        <v>-585</v>
      </c>
      <c r="F133" s="6" t="s">
        <v>30</v>
      </c>
      <c r="G133" s="6" t="str">
        <f t="shared" si="5"/>
        <v>Not Done</v>
      </c>
    </row>
    <row r="134" spans="1:7" x14ac:dyDescent="0.25">
      <c r="A134" s="5" t="s">
        <v>37</v>
      </c>
      <c r="B134" s="6">
        <v>1.5</v>
      </c>
      <c r="C134" s="6">
        <v>1.43</v>
      </c>
      <c r="D134" s="6"/>
      <c r="E134" s="6">
        <v>1.57</v>
      </c>
      <c r="F134" s="6" t="s">
        <v>38</v>
      </c>
      <c r="G134" s="6" t="str">
        <f t="shared" si="5"/>
        <v>Not Done</v>
      </c>
    </row>
    <row r="135" spans="1:7" x14ac:dyDescent="0.25">
      <c r="A135" s="5"/>
      <c r="B135" s="6">
        <v>-1.5</v>
      </c>
      <c r="C135" s="6">
        <v>-1.57</v>
      </c>
      <c r="D135" s="6"/>
      <c r="E135" s="6">
        <v>-1.43</v>
      </c>
      <c r="F135" s="6" t="s">
        <v>38</v>
      </c>
      <c r="G135" s="6" t="str">
        <f t="shared" si="5"/>
        <v>Not Done</v>
      </c>
    </row>
    <row r="136" spans="1:7" x14ac:dyDescent="0.25">
      <c r="A136" s="5" t="s">
        <v>39</v>
      </c>
      <c r="B136" s="6">
        <v>3</v>
      </c>
      <c r="C136" s="6">
        <v>2.9</v>
      </c>
      <c r="D136" s="6"/>
      <c r="E136" s="6">
        <v>3.1</v>
      </c>
      <c r="F136" s="6" t="s">
        <v>38</v>
      </c>
      <c r="G136" s="6" t="str">
        <f t="shared" si="5"/>
        <v>Not Done</v>
      </c>
    </row>
    <row r="137" spans="1:7" x14ac:dyDescent="0.25">
      <c r="A137" s="5"/>
      <c r="B137" s="6">
        <v>-3</v>
      </c>
      <c r="C137" s="6">
        <v>-3.1</v>
      </c>
      <c r="D137" s="6"/>
      <c r="E137" s="6">
        <v>-2.9</v>
      </c>
      <c r="F137" s="6" t="s">
        <v>38</v>
      </c>
      <c r="G137" s="6" t="str">
        <f t="shared" si="5"/>
        <v>Not Done</v>
      </c>
    </row>
    <row r="138" spans="1:7" x14ac:dyDescent="0.25">
      <c r="A138" s="5" t="s">
        <v>40</v>
      </c>
      <c r="B138" s="6">
        <v>6</v>
      </c>
      <c r="C138" s="6">
        <v>5.86</v>
      </c>
      <c r="D138" s="6"/>
      <c r="E138" s="6">
        <v>6.14</v>
      </c>
      <c r="F138" s="6" t="s">
        <v>38</v>
      </c>
      <c r="G138" s="6" t="str">
        <f t="shared" si="5"/>
        <v>Not Done</v>
      </c>
    </row>
    <row r="139" spans="1:7" x14ac:dyDescent="0.25">
      <c r="A139" s="5"/>
      <c r="B139" s="6">
        <v>-6</v>
      </c>
      <c r="C139" s="6">
        <v>-6.14</v>
      </c>
      <c r="D139" s="6"/>
      <c r="E139" s="6">
        <v>-5.86</v>
      </c>
      <c r="F139" s="6" t="s">
        <v>38</v>
      </c>
      <c r="G139" s="6" t="str">
        <f t="shared" si="5"/>
        <v>Not Done</v>
      </c>
    </row>
    <row r="140" spans="1:7" x14ac:dyDescent="0.25">
      <c r="A140" s="5" t="s">
        <v>41</v>
      </c>
      <c r="B140" s="6">
        <v>15</v>
      </c>
      <c r="C140" s="6">
        <v>14.3</v>
      </c>
      <c r="D140" s="6"/>
      <c r="E140" s="6">
        <v>15.7</v>
      </c>
      <c r="F140" s="6" t="s">
        <v>38</v>
      </c>
      <c r="G140" s="6" t="str">
        <f t="shared" si="5"/>
        <v>Not Done</v>
      </c>
    </row>
    <row r="141" spans="1:7" x14ac:dyDescent="0.25">
      <c r="A141" s="5"/>
      <c r="B141" s="6">
        <v>-15</v>
      </c>
      <c r="C141" s="6">
        <v>-15.7</v>
      </c>
      <c r="D141" s="6"/>
      <c r="E141" s="6">
        <v>-14.3</v>
      </c>
      <c r="F141" s="6" t="s">
        <v>38</v>
      </c>
      <c r="G141" s="6" t="str">
        <f t="shared" si="5"/>
        <v>Not Done</v>
      </c>
    </row>
    <row r="142" spans="1:7" x14ac:dyDescent="0.25">
      <c r="A142" s="5" t="s">
        <v>42</v>
      </c>
      <c r="B142" s="6">
        <v>30</v>
      </c>
      <c r="C142" s="6">
        <v>29</v>
      </c>
      <c r="D142" s="6"/>
      <c r="E142" s="6">
        <v>31</v>
      </c>
      <c r="F142" s="6" t="s">
        <v>38</v>
      </c>
      <c r="G142" s="6" t="str">
        <f t="shared" si="5"/>
        <v>Not Done</v>
      </c>
    </row>
    <row r="143" spans="1:7" x14ac:dyDescent="0.25">
      <c r="A143" s="5"/>
      <c r="B143" s="6">
        <v>-30</v>
      </c>
      <c r="C143" s="6">
        <v>-31</v>
      </c>
      <c r="D143" s="6"/>
      <c r="E143" s="6">
        <v>-29</v>
      </c>
      <c r="F143" s="6" t="s">
        <v>38</v>
      </c>
      <c r="G143" s="6" t="str">
        <f t="shared" si="5"/>
        <v>Not Done</v>
      </c>
    </row>
    <row r="144" spans="1:7" x14ac:dyDescent="0.25">
      <c r="A144" s="5" t="s">
        <v>43</v>
      </c>
      <c r="B144" s="6">
        <v>60</v>
      </c>
      <c r="C144" s="6">
        <v>58.6</v>
      </c>
      <c r="D144" s="6"/>
      <c r="E144" s="6">
        <v>61.4</v>
      </c>
      <c r="F144" s="6" t="s">
        <v>38</v>
      </c>
      <c r="G144" s="6" t="str">
        <f t="shared" si="5"/>
        <v>Not Done</v>
      </c>
    </row>
    <row r="145" spans="1:7" x14ac:dyDescent="0.25">
      <c r="A145" s="5"/>
      <c r="B145" s="6">
        <v>-60</v>
      </c>
      <c r="C145" s="6">
        <v>-61.4</v>
      </c>
      <c r="D145" s="6"/>
      <c r="E145" s="6">
        <v>-58.6</v>
      </c>
      <c r="F145" s="6" t="s">
        <v>38</v>
      </c>
      <c r="G145" s="6" t="str">
        <f t="shared" si="5"/>
        <v>Not Done</v>
      </c>
    </row>
    <row r="146" spans="1:7" x14ac:dyDescent="0.25">
      <c r="A146" s="5" t="s">
        <v>44</v>
      </c>
      <c r="B146" s="6">
        <v>150</v>
      </c>
      <c r="C146" s="6">
        <v>143</v>
      </c>
      <c r="D146" s="6"/>
      <c r="E146" s="6">
        <v>157</v>
      </c>
      <c r="F146" s="6" t="s">
        <v>38</v>
      </c>
      <c r="G146" s="6" t="str">
        <f t="shared" si="5"/>
        <v>Not Done</v>
      </c>
    </row>
    <row r="147" spans="1:7" x14ac:dyDescent="0.25">
      <c r="A147" s="5"/>
      <c r="B147" s="6">
        <v>-150</v>
      </c>
      <c r="C147" s="6">
        <v>-157</v>
      </c>
      <c r="D147" s="6"/>
      <c r="E147" s="6">
        <v>-143</v>
      </c>
      <c r="F147" s="6" t="s">
        <v>38</v>
      </c>
      <c r="G147" s="6" t="str">
        <f t="shared" si="5"/>
        <v>Not Done</v>
      </c>
    </row>
    <row r="148" spans="1:7" x14ac:dyDescent="0.25">
      <c r="A148" s="5" t="s">
        <v>45</v>
      </c>
      <c r="B148" s="6">
        <v>300</v>
      </c>
      <c r="C148" s="6">
        <v>290</v>
      </c>
      <c r="D148" s="6"/>
      <c r="E148" s="6">
        <v>310</v>
      </c>
      <c r="F148" s="6" t="s">
        <v>38</v>
      </c>
      <c r="G148" s="6" t="str">
        <f t="shared" si="5"/>
        <v>Not Done</v>
      </c>
    </row>
    <row r="149" spans="1:7" x14ac:dyDescent="0.25">
      <c r="A149" s="5"/>
      <c r="B149" s="6">
        <v>-300</v>
      </c>
      <c r="C149" s="6">
        <v>-310</v>
      </c>
      <c r="D149" s="6"/>
      <c r="E149" s="6">
        <v>-290</v>
      </c>
      <c r="F149" s="6" t="s">
        <v>38</v>
      </c>
      <c r="G149" s="6" t="str">
        <f t="shared" si="5"/>
        <v>Not Done</v>
      </c>
    </row>
    <row r="151" spans="1:7" ht="15.75" x14ac:dyDescent="0.25">
      <c r="A151" s="3" t="s">
        <v>53</v>
      </c>
    </row>
    <row r="152" spans="1:7" x14ac:dyDescent="0.25">
      <c r="A152" s="4" t="s">
        <v>23</v>
      </c>
      <c r="B152" s="4" t="s">
        <v>50</v>
      </c>
      <c r="C152" s="4" t="s">
        <v>25</v>
      </c>
      <c r="D152" s="4" t="s">
        <v>51</v>
      </c>
      <c r="E152" s="4" t="s">
        <v>26</v>
      </c>
      <c r="F152" s="4" t="s">
        <v>27</v>
      </c>
      <c r="G152" s="4" t="s">
        <v>28</v>
      </c>
    </row>
    <row r="153" spans="1:7" x14ac:dyDescent="0.25">
      <c r="A153" s="5" t="s">
        <v>29</v>
      </c>
      <c r="B153" s="6">
        <v>6</v>
      </c>
      <c r="C153" s="6">
        <v>4.9000000000000004</v>
      </c>
      <c r="D153" s="6"/>
      <c r="E153" s="6">
        <v>7.1</v>
      </c>
      <c r="F153" s="6" t="s">
        <v>30</v>
      </c>
      <c r="G153" s="6" t="str">
        <f t="shared" ref="G153:G182" si="6">IF(ISBLANK(D153),"Not Done",IF(AND(D153&lt;=E153,D153&gt;=C153),"Pass","Fail"))</f>
        <v>Not Done</v>
      </c>
    </row>
    <row r="154" spans="1:7" x14ac:dyDescent="0.25">
      <c r="A154" s="5"/>
      <c r="B154" s="6">
        <v>-6</v>
      </c>
      <c r="C154" s="6">
        <v>-7.1</v>
      </c>
      <c r="D154" s="6"/>
      <c r="E154" s="6">
        <v>-4.9000000000000004</v>
      </c>
      <c r="F154" s="6" t="s">
        <v>30</v>
      </c>
      <c r="G154" s="6" t="str">
        <f t="shared" si="6"/>
        <v>Not Done</v>
      </c>
    </row>
    <row r="155" spans="1:7" x14ac:dyDescent="0.25">
      <c r="A155" s="5" t="s">
        <v>31</v>
      </c>
      <c r="B155" s="6">
        <v>15</v>
      </c>
      <c r="C155" s="6">
        <v>14.3</v>
      </c>
      <c r="D155" s="6"/>
      <c r="E155" s="6">
        <v>15.7</v>
      </c>
      <c r="F155" s="6" t="s">
        <v>30</v>
      </c>
      <c r="G155" s="6" t="str">
        <f t="shared" si="6"/>
        <v>Not Done</v>
      </c>
    </row>
    <row r="156" spans="1:7" x14ac:dyDescent="0.25">
      <c r="A156" s="5"/>
      <c r="B156" s="6">
        <v>-15</v>
      </c>
      <c r="C156" s="6">
        <v>-15.7</v>
      </c>
      <c r="D156" s="6"/>
      <c r="E156" s="6">
        <v>-14.3</v>
      </c>
      <c r="F156" s="6" t="s">
        <v>30</v>
      </c>
      <c r="G156" s="6" t="str">
        <f t="shared" si="6"/>
        <v>Not Done</v>
      </c>
    </row>
    <row r="157" spans="1:7" x14ac:dyDescent="0.25">
      <c r="A157" s="5" t="s">
        <v>32</v>
      </c>
      <c r="B157" s="6">
        <v>30</v>
      </c>
      <c r="C157" s="6">
        <v>29</v>
      </c>
      <c r="D157" s="6"/>
      <c r="E157" s="6">
        <v>31</v>
      </c>
      <c r="F157" s="6" t="s">
        <v>30</v>
      </c>
      <c r="G157" s="6" t="str">
        <f t="shared" si="6"/>
        <v>Not Done</v>
      </c>
    </row>
    <row r="158" spans="1:7" x14ac:dyDescent="0.25">
      <c r="A158" s="5"/>
      <c r="B158" s="6">
        <v>-30</v>
      </c>
      <c r="C158" s="6">
        <v>-31</v>
      </c>
      <c r="D158" s="6"/>
      <c r="E158" s="6">
        <v>-29</v>
      </c>
      <c r="F158" s="6" t="s">
        <v>30</v>
      </c>
      <c r="G158" s="6" t="str">
        <f t="shared" si="6"/>
        <v>Not Done</v>
      </c>
    </row>
    <row r="159" spans="1:7" x14ac:dyDescent="0.25">
      <c r="A159" s="5" t="s">
        <v>33</v>
      </c>
      <c r="B159" s="6">
        <v>60</v>
      </c>
      <c r="C159" s="6">
        <v>58.5</v>
      </c>
      <c r="D159" s="6"/>
      <c r="E159" s="6">
        <v>61.5</v>
      </c>
      <c r="F159" s="6" t="s">
        <v>30</v>
      </c>
      <c r="G159" s="6" t="str">
        <f t="shared" si="6"/>
        <v>Not Done</v>
      </c>
    </row>
    <row r="160" spans="1:7" x14ac:dyDescent="0.25">
      <c r="A160" s="5"/>
      <c r="B160" s="6">
        <v>-60</v>
      </c>
      <c r="C160" s="6">
        <v>-61.5</v>
      </c>
      <c r="D160" s="6"/>
      <c r="E160" s="6">
        <v>-58.5</v>
      </c>
      <c r="F160" s="6" t="s">
        <v>30</v>
      </c>
      <c r="G160" s="6" t="str">
        <f t="shared" si="6"/>
        <v>Not Done</v>
      </c>
    </row>
    <row r="161" spans="1:7" x14ac:dyDescent="0.25">
      <c r="A161" s="5" t="s">
        <v>34</v>
      </c>
      <c r="B161" s="6">
        <v>150</v>
      </c>
      <c r="C161" s="6">
        <v>143</v>
      </c>
      <c r="D161" s="6"/>
      <c r="E161" s="6">
        <v>157</v>
      </c>
      <c r="F161" s="6" t="s">
        <v>30</v>
      </c>
      <c r="G161" s="6" t="str">
        <f t="shared" si="6"/>
        <v>Not Done</v>
      </c>
    </row>
    <row r="162" spans="1:7" x14ac:dyDescent="0.25">
      <c r="A162" s="5"/>
      <c r="B162" s="6">
        <v>-150</v>
      </c>
      <c r="C162" s="6">
        <v>-157</v>
      </c>
      <c r="D162" s="6"/>
      <c r="E162" s="6">
        <v>-143</v>
      </c>
      <c r="F162" s="6" t="s">
        <v>30</v>
      </c>
      <c r="G162" s="6" t="str">
        <f t="shared" si="6"/>
        <v>Not Done</v>
      </c>
    </row>
    <row r="163" spans="1:7" x14ac:dyDescent="0.25">
      <c r="A163" s="5" t="s">
        <v>35</v>
      </c>
      <c r="B163" s="6">
        <v>300</v>
      </c>
      <c r="C163" s="6">
        <v>290</v>
      </c>
      <c r="D163" s="6"/>
      <c r="E163" s="6">
        <v>310</v>
      </c>
      <c r="F163" s="6" t="s">
        <v>30</v>
      </c>
      <c r="G163" s="6" t="str">
        <f t="shared" si="6"/>
        <v>Not Done</v>
      </c>
    </row>
    <row r="164" spans="1:7" x14ac:dyDescent="0.25">
      <c r="A164" s="5"/>
      <c r="B164" s="6">
        <v>-300</v>
      </c>
      <c r="C164" s="6">
        <v>-310</v>
      </c>
      <c r="D164" s="6"/>
      <c r="E164" s="6">
        <v>-290</v>
      </c>
      <c r="F164" s="6" t="s">
        <v>30</v>
      </c>
      <c r="G164" s="6" t="str">
        <f t="shared" si="6"/>
        <v>Not Done</v>
      </c>
    </row>
    <row r="165" spans="1:7" x14ac:dyDescent="0.25">
      <c r="A165" s="5" t="s">
        <v>36</v>
      </c>
      <c r="B165" s="6">
        <v>600</v>
      </c>
      <c r="C165" s="6">
        <v>585</v>
      </c>
      <c r="D165" s="6"/>
      <c r="E165" s="6">
        <v>615</v>
      </c>
      <c r="F165" s="6" t="s">
        <v>30</v>
      </c>
      <c r="G165" s="6" t="str">
        <f t="shared" si="6"/>
        <v>Not Done</v>
      </c>
    </row>
    <row r="166" spans="1:7" x14ac:dyDescent="0.25">
      <c r="A166" s="5"/>
      <c r="B166" s="6">
        <v>-600</v>
      </c>
      <c r="C166" s="6">
        <v>-615</v>
      </c>
      <c r="D166" s="6"/>
      <c r="E166" s="6">
        <v>-585</v>
      </c>
      <c r="F166" s="6" t="s">
        <v>30</v>
      </c>
      <c r="G166" s="6" t="str">
        <f t="shared" si="6"/>
        <v>Not Done</v>
      </c>
    </row>
    <row r="167" spans="1:7" x14ac:dyDescent="0.25">
      <c r="A167" s="5" t="s">
        <v>37</v>
      </c>
      <c r="B167" s="6">
        <v>1.5</v>
      </c>
      <c r="C167" s="6">
        <v>1.43</v>
      </c>
      <c r="D167" s="6"/>
      <c r="E167" s="6">
        <v>1.57</v>
      </c>
      <c r="F167" s="6" t="s">
        <v>38</v>
      </c>
      <c r="G167" s="6" t="str">
        <f t="shared" si="6"/>
        <v>Not Done</v>
      </c>
    </row>
    <row r="168" spans="1:7" x14ac:dyDescent="0.25">
      <c r="A168" s="5"/>
      <c r="B168" s="6">
        <v>-1.5</v>
      </c>
      <c r="C168" s="6">
        <v>-1.57</v>
      </c>
      <c r="D168" s="6"/>
      <c r="E168" s="6">
        <v>-1.43</v>
      </c>
      <c r="F168" s="6" t="s">
        <v>38</v>
      </c>
      <c r="G168" s="6" t="str">
        <f t="shared" si="6"/>
        <v>Not Done</v>
      </c>
    </row>
    <row r="169" spans="1:7" x14ac:dyDescent="0.25">
      <c r="A169" s="5" t="s">
        <v>39</v>
      </c>
      <c r="B169" s="6">
        <v>3</v>
      </c>
      <c r="C169" s="6">
        <v>2.9</v>
      </c>
      <c r="D169" s="6"/>
      <c r="E169" s="6">
        <v>3.1</v>
      </c>
      <c r="F169" s="6" t="s">
        <v>38</v>
      </c>
      <c r="G169" s="6" t="str">
        <f t="shared" si="6"/>
        <v>Not Done</v>
      </c>
    </row>
    <row r="170" spans="1:7" x14ac:dyDescent="0.25">
      <c r="A170" s="5"/>
      <c r="B170" s="6">
        <v>-3</v>
      </c>
      <c r="C170" s="6">
        <v>-3.1</v>
      </c>
      <c r="D170" s="6"/>
      <c r="E170" s="6">
        <v>-2.9</v>
      </c>
      <c r="F170" s="6" t="s">
        <v>38</v>
      </c>
      <c r="G170" s="6" t="str">
        <f t="shared" si="6"/>
        <v>Not Done</v>
      </c>
    </row>
    <row r="171" spans="1:7" x14ac:dyDescent="0.25">
      <c r="A171" s="5" t="s">
        <v>40</v>
      </c>
      <c r="B171" s="6">
        <v>6</v>
      </c>
      <c r="C171" s="6">
        <v>5.86</v>
      </c>
      <c r="D171" s="6"/>
      <c r="E171" s="6">
        <v>6.14</v>
      </c>
      <c r="F171" s="6" t="s">
        <v>38</v>
      </c>
      <c r="G171" s="6" t="str">
        <f t="shared" si="6"/>
        <v>Not Done</v>
      </c>
    </row>
    <row r="172" spans="1:7" x14ac:dyDescent="0.25">
      <c r="A172" s="5"/>
      <c r="B172" s="6">
        <v>-6</v>
      </c>
      <c r="C172" s="6">
        <v>-6.14</v>
      </c>
      <c r="D172" s="6"/>
      <c r="E172" s="6">
        <v>-5.86</v>
      </c>
      <c r="F172" s="6" t="s">
        <v>38</v>
      </c>
      <c r="G172" s="6" t="str">
        <f t="shared" si="6"/>
        <v>Not Done</v>
      </c>
    </row>
    <row r="173" spans="1:7" x14ac:dyDescent="0.25">
      <c r="A173" s="5" t="s">
        <v>41</v>
      </c>
      <c r="B173" s="6">
        <v>15</v>
      </c>
      <c r="C173" s="6">
        <v>14.3</v>
      </c>
      <c r="D173" s="6"/>
      <c r="E173" s="6">
        <v>15.7</v>
      </c>
      <c r="F173" s="6" t="s">
        <v>38</v>
      </c>
      <c r="G173" s="6" t="str">
        <f t="shared" si="6"/>
        <v>Not Done</v>
      </c>
    </row>
    <row r="174" spans="1:7" x14ac:dyDescent="0.25">
      <c r="A174" s="5"/>
      <c r="B174" s="6">
        <v>-15</v>
      </c>
      <c r="C174" s="6">
        <v>-15.7</v>
      </c>
      <c r="D174" s="6"/>
      <c r="E174" s="6">
        <v>-14.3</v>
      </c>
      <c r="F174" s="6" t="s">
        <v>38</v>
      </c>
      <c r="G174" s="6" t="str">
        <f t="shared" si="6"/>
        <v>Not Done</v>
      </c>
    </row>
    <row r="175" spans="1:7" x14ac:dyDescent="0.25">
      <c r="A175" s="5" t="s">
        <v>42</v>
      </c>
      <c r="B175" s="6">
        <v>30</v>
      </c>
      <c r="C175" s="6">
        <v>29</v>
      </c>
      <c r="D175" s="6"/>
      <c r="E175" s="6">
        <v>31</v>
      </c>
      <c r="F175" s="6" t="s">
        <v>38</v>
      </c>
      <c r="G175" s="6" t="str">
        <f t="shared" si="6"/>
        <v>Not Done</v>
      </c>
    </row>
    <row r="176" spans="1:7" x14ac:dyDescent="0.25">
      <c r="A176" s="5"/>
      <c r="B176" s="6">
        <v>-30</v>
      </c>
      <c r="C176" s="6">
        <v>-31</v>
      </c>
      <c r="D176" s="6"/>
      <c r="E176" s="6">
        <v>-29</v>
      </c>
      <c r="F176" s="6" t="s">
        <v>38</v>
      </c>
      <c r="G176" s="6" t="str">
        <f t="shared" si="6"/>
        <v>Not Done</v>
      </c>
    </row>
    <row r="177" spans="1:7" x14ac:dyDescent="0.25">
      <c r="A177" s="5" t="s">
        <v>43</v>
      </c>
      <c r="B177" s="6">
        <v>60</v>
      </c>
      <c r="C177" s="6">
        <v>58.6</v>
      </c>
      <c r="D177" s="6"/>
      <c r="E177" s="6">
        <v>61.4</v>
      </c>
      <c r="F177" s="6" t="s">
        <v>38</v>
      </c>
      <c r="G177" s="6" t="str">
        <f t="shared" si="6"/>
        <v>Not Done</v>
      </c>
    </row>
    <row r="178" spans="1:7" x14ac:dyDescent="0.25">
      <c r="A178" s="5"/>
      <c r="B178" s="6">
        <v>-60</v>
      </c>
      <c r="C178" s="6">
        <v>-61.4</v>
      </c>
      <c r="D178" s="6"/>
      <c r="E178" s="6">
        <v>-58.6</v>
      </c>
      <c r="F178" s="6" t="s">
        <v>38</v>
      </c>
      <c r="G178" s="6" t="str">
        <f t="shared" si="6"/>
        <v>Not Done</v>
      </c>
    </row>
    <row r="179" spans="1:7" x14ac:dyDescent="0.25">
      <c r="A179" s="5" t="s">
        <v>44</v>
      </c>
      <c r="B179" s="6">
        <v>150</v>
      </c>
      <c r="C179" s="6">
        <v>143</v>
      </c>
      <c r="D179" s="6"/>
      <c r="E179" s="6">
        <v>157</v>
      </c>
      <c r="F179" s="6" t="s">
        <v>38</v>
      </c>
      <c r="G179" s="6" t="str">
        <f t="shared" si="6"/>
        <v>Not Done</v>
      </c>
    </row>
    <row r="180" spans="1:7" x14ac:dyDescent="0.25">
      <c r="A180" s="5"/>
      <c r="B180" s="6">
        <v>-150</v>
      </c>
      <c r="C180" s="6">
        <v>-157</v>
      </c>
      <c r="D180" s="6"/>
      <c r="E180" s="6">
        <v>-143</v>
      </c>
      <c r="F180" s="6" t="s">
        <v>38</v>
      </c>
      <c r="G180" s="6" t="str">
        <f t="shared" si="6"/>
        <v>Not Done</v>
      </c>
    </row>
    <row r="181" spans="1:7" x14ac:dyDescent="0.25">
      <c r="A181" s="5" t="s">
        <v>45</v>
      </c>
      <c r="B181" s="6">
        <v>300</v>
      </c>
      <c r="C181" s="6">
        <v>290</v>
      </c>
      <c r="D181" s="6"/>
      <c r="E181" s="6">
        <v>310</v>
      </c>
      <c r="F181" s="6" t="s">
        <v>38</v>
      </c>
      <c r="G181" s="6" t="str">
        <f t="shared" si="6"/>
        <v>Not Done</v>
      </c>
    </row>
    <row r="182" spans="1:7" x14ac:dyDescent="0.25">
      <c r="A182" s="5"/>
      <c r="B182" s="6">
        <v>-300</v>
      </c>
      <c r="C182" s="6">
        <v>-310</v>
      </c>
      <c r="D182" s="6"/>
      <c r="E182" s="6">
        <v>-290</v>
      </c>
      <c r="F182" s="6" t="s">
        <v>38</v>
      </c>
      <c r="G182" s="6" t="str">
        <f t="shared" si="6"/>
        <v>Not Done</v>
      </c>
    </row>
    <row r="184" spans="1:7" ht="15.75" x14ac:dyDescent="0.25">
      <c r="A184" s="3" t="s">
        <v>54</v>
      </c>
    </row>
    <row r="185" spans="1:7" x14ac:dyDescent="0.25">
      <c r="A185" s="4" t="s">
        <v>23</v>
      </c>
      <c r="B185" s="4" t="s">
        <v>50</v>
      </c>
      <c r="C185" s="4" t="s">
        <v>25</v>
      </c>
      <c r="D185" s="4" t="s">
        <v>51</v>
      </c>
      <c r="E185" s="4" t="s">
        <v>26</v>
      </c>
      <c r="F185" s="4" t="s">
        <v>27</v>
      </c>
      <c r="G185" s="4" t="s">
        <v>28</v>
      </c>
    </row>
    <row r="186" spans="1:7" x14ac:dyDescent="0.25">
      <c r="A186" s="5" t="s">
        <v>29</v>
      </c>
      <c r="B186" s="6">
        <v>6</v>
      </c>
      <c r="C186" s="6">
        <v>4.9000000000000004</v>
      </c>
      <c r="D186" s="6"/>
      <c r="E186" s="6">
        <v>7.1</v>
      </c>
      <c r="F186" s="6" t="s">
        <v>30</v>
      </c>
      <c r="G186" s="6" t="str">
        <f t="shared" ref="G186:G215" si="7">IF(ISBLANK(D186),"Not Done",IF(AND(D186&lt;=E186,D186&gt;=C186),"Pass","Fail"))</f>
        <v>Not Done</v>
      </c>
    </row>
    <row r="187" spans="1:7" x14ac:dyDescent="0.25">
      <c r="A187" s="5"/>
      <c r="B187" s="6">
        <v>-6</v>
      </c>
      <c r="C187" s="6">
        <v>-7.1</v>
      </c>
      <c r="D187" s="6"/>
      <c r="E187" s="6">
        <v>-4.9000000000000004</v>
      </c>
      <c r="F187" s="6" t="s">
        <v>30</v>
      </c>
      <c r="G187" s="6" t="str">
        <f t="shared" si="7"/>
        <v>Not Done</v>
      </c>
    </row>
    <row r="188" spans="1:7" x14ac:dyDescent="0.25">
      <c r="A188" s="5" t="s">
        <v>31</v>
      </c>
      <c r="B188" s="6">
        <v>15</v>
      </c>
      <c r="C188" s="6">
        <v>14.3</v>
      </c>
      <c r="D188" s="6"/>
      <c r="E188" s="6">
        <v>15.7</v>
      </c>
      <c r="F188" s="6" t="s">
        <v>30</v>
      </c>
      <c r="G188" s="6" t="str">
        <f t="shared" si="7"/>
        <v>Not Done</v>
      </c>
    </row>
    <row r="189" spans="1:7" x14ac:dyDescent="0.25">
      <c r="A189" s="5"/>
      <c r="B189" s="6">
        <v>-15</v>
      </c>
      <c r="C189" s="6">
        <v>-15.7</v>
      </c>
      <c r="D189" s="6"/>
      <c r="E189" s="6">
        <v>-14.3</v>
      </c>
      <c r="F189" s="6" t="s">
        <v>30</v>
      </c>
      <c r="G189" s="6" t="str">
        <f t="shared" si="7"/>
        <v>Not Done</v>
      </c>
    </row>
    <row r="190" spans="1:7" x14ac:dyDescent="0.25">
      <c r="A190" s="5" t="s">
        <v>32</v>
      </c>
      <c r="B190" s="6">
        <v>30</v>
      </c>
      <c r="C190" s="6">
        <v>29</v>
      </c>
      <c r="D190" s="6"/>
      <c r="E190" s="6">
        <v>31</v>
      </c>
      <c r="F190" s="6" t="s">
        <v>30</v>
      </c>
      <c r="G190" s="6" t="str">
        <f t="shared" si="7"/>
        <v>Not Done</v>
      </c>
    </row>
    <row r="191" spans="1:7" x14ac:dyDescent="0.25">
      <c r="A191" s="5"/>
      <c r="B191" s="6">
        <v>-30</v>
      </c>
      <c r="C191" s="6">
        <v>-31</v>
      </c>
      <c r="D191" s="6"/>
      <c r="E191" s="6">
        <v>-29</v>
      </c>
      <c r="F191" s="6" t="s">
        <v>30</v>
      </c>
      <c r="G191" s="6" t="str">
        <f t="shared" si="7"/>
        <v>Not Done</v>
      </c>
    </row>
    <row r="192" spans="1:7" x14ac:dyDescent="0.25">
      <c r="A192" s="5" t="s">
        <v>33</v>
      </c>
      <c r="B192" s="6">
        <v>60</v>
      </c>
      <c r="C192" s="6">
        <v>58.5</v>
      </c>
      <c r="D192" s="6"/>
      <c r="E192" s="6">
        <v>61.5</v>
      </c>
      <c r="F192" s="6" t="s">
        <v>30</v>
      </c>
      <c r="G192" s="6" t="str">
        <f t="shared" si="7"/>
        <v>Not Done</v>
      </c>
    </row>
    <row r="193" spans="1:7" x14ac:dyDescent="0.25">
      <c r="A193" s="5"/>
      <c r="B193" s="6">
        <v>-60</v>
      </c>
      <c r="C193" s="6">
        <v>-61.5</v>
      </c>
      <c r="D193" s="6"/>
      <c r="E193" s="6">
        <v>-58.5</v>
      </c>
      <c r="F193" s="6" t="s">
        <v>30</v>
      </c>
      <c r="G193" s="6" t="str">
        <f t="shared" si="7"/>
        <v>Not Done</v>
      </c>
    </row>
    <row r="194" spans="1:7" x14ac:dyDescent="0.25">
      <c r="A194" s="5" t="s">
        <v>34</v>
      </c>
      <c r="B194" s="6">
        <v>150</v>
      </c>
      <c r="C194" s="6">
        <v>143</v>
      </c>
      <c r="D194" s="6"/>
      <c r="E194" s="6">
        <v>157</v>
      </c>
      <c r="F194" s="6" t="s">
        <v>30</v>
      </c>
      <c r="G194" s="6" t="str">
        <f t="shared" si="7"/>
        <v>Not Done</v>
      </c>
    </row>
    <row r="195" spans="1:7" x14ac:dyDescent="0.25">
      <c r="A195" s="5"/>
      <c r="B195" s="6">
        <v>-150</v>
      </c>
      <c r="C195" s="6">
        <v>-157</v>
      </c>
      <c r="D195" s="6"/>
      <c r="E195" s="6">
        <v>-143</v>
      </c>
      <c r="F195" s="6" t="s">
        <v>30</v>
      </c>
      <c r="G195" s="6" t="str">
        <f t="shared" si="7"/>
        <v>Not Done</v>
      </c>
    </row>
    <row r="196" spans="1:7" x14ac:dyDescent="0.25">
      <c r="A196" s="5" t="s">
        <v>35</v>
      </c>
      <c r="B196" s="6">
        <v>300</v>
      </c>
      <c r="C196" s="6">
        <v>290</v>
      </c>
      <c r="D196" s="6"/>
      <c r="E196" s="6">
        <v>310</v>
      </c>
      <c r="F196" s="6" t="s">
        <v>30</v>
      </c>
      <c r="G196" s="6" t="str">
        <f t="shared" si="7"/>
        <v>Not Done</v>
      </c>
    </row>
    <row r="197" spans="1:7" x14ac:dyDescent="0.25">
      <c r="A197" s="5"/>
      <c r="B197" s="6">
        <v>-300</v>
      </c>
      <c r="C197" s="6">
        <v>-310</v>
      </c>
      <c r="D197" s="6"/>
      <c r="E197" s="6">
        <v>-290</v>
      </c>
      <c r="F197" s="6" t="s">
        <v>30</v>
      </c>
      <c r="G197" s="6" t="str">
        <f t="shared" si="7"/>
        <v>Not Done</v>
      </c>
    </row>
    <row r="198" spans="1:7" x14ac:dyDescent="0.25">
      <c r="A198" s="5" t="s">
        <v>36</v>
      </c>
      <c r="B198" s="6">
        <v>600</v>
      </c>
      <c r="C198" s="6">
        <v>585</v>
      </c>
      <c r="D198" s="6"/>
      <c r="E198" s="6">
        <v>615</v>
      </c>
      <c r="F198" s="6" t="s">
        <v>30</v>
      </c>
      <c r="G198" s="6" t="str">
        <f t="shared" si="7"/>
        <v>Not Done</v>
      </c>
    </row>
    <row r="199" spans="1:7" x14ac:dyDescent="0.25">
      <c r="A199" s="5"/>
      <c r="B199" s="6">
        <v>-600</v>
      </c>
      <c r="C199" s="6">
        <v>-615</v>
      </c>
      <c r="D199" s="6"/>
      <c r="E199" s="6">
        <v>-585</v>
      </c>
      <c r="F199" s="6" t="s">
        <v>30</v>
      </c>
      <c r="G199" s="6" t="str">
        <f t="shared" si="7"/>
        <v>Not Done</v>
      </c>
    </row>
    <row r="200" spans="1:7" x14ac:dyDescent="0.25">
      <c r="A200" s="5" t="s">
        <v>37</v>
      </c>
      <c r="B200" s="6">
        <v>1.5</v>
      </c>
      <c r="C200" s="6">
        <v>1.43</v>
      </c>
      <c r="D200" s="6"/>
      <c r="E200" s="6">
        <v>1.57</v>
      </c>
      <c r="F200" s="6" t="s">
        <v>38</v>
      </c>
      <c r="G200" s="6" t="str">
        <f t="shared" si="7"/>
        <v>Not Done</v>
      </c>
    </row>
    <row r="201" spans="1:7" x14ac:dyDescent="0.25">
      <c r="A201" s="5"/>
      <c r="B201" s="6">
        <v>-1.5</v>
      </c>
      <c r="C201" s="6">
        <v>-1.57</v>
      </c>
      <c r="D201" s="6"/>
      <c r="E201" s="6">
        <v>-1.43</v>
      </c>
      <c r="F201" s="6" t="s">
        <v>38</v>
      </c>
      <c r="G201" s="6" t="str">
        <f t="shared" si="7"/>
        <v>Not Done</v>
      </c>
    </row>
    <row r="202" spans="1:7" x14ac:dyDescent="0.25">
      <c r="A202" s="5" t="s">
        <v>39</v>
      </c>
      <c r="B202" s="6">
        <v>3</v>
      </c>
      <c r="C202" s="6">
        <v>2.9</v>
      </c>
      <c r="D202" s="6"/>
      <c r="E202" s="6">
        <v>3.1</v>
      </c>
      <c r="F202" s="6" t="s">
        <v>38</v>
      </c>
      <c r="G202" s="6" t="str">
        <f t="shared" si="7"/>
        <v>Not Done</v>
      </c>
    </row>
    <row r="203" spans="1:7" x14ac:dyDescent="0.25">
      <c r="A203" s="5"/>
      <c r="B203" s="6">
        <v>-3</v>
      </c>
      <c r="C203" s="6">
        <v>-3.1</v>
      </c>
      <c r="D203" s="6"/>
      <c r="E203" s="6">
        <v>-2.9</v>
      </c>
      <c r="F203" s="6" t="s">
        <v>38</v>
      </c>
      <c r="G203" s="6" t="str">
        <f t="shared" si="7"/>
        <v>Not Done</v>
      </c>
    </row>
    <row r="204" spans="1:7" x14ac:dyDescent="0.25">
      <c r="A204" s="5" t="s">
        <v>40</v>
      </c>
      <c r="B204" s="6">
        <v>6</v>
      </c>
      <c r="C204" s="6">
        <v>5.86</v>
      </c>
      <c r="D204" s="6"/>
      <c r="E204" s="6">
        <v>6.14</v>
      </c>
      <c r="F204" s="6" t="s">
        <v>38</v>
      </c>
      <c r="G204" s="6" t="str">
        <f t="shared" si="7"/>
        <v>Not Done</v>
      </c>
    </row>
    <row r="205" spans="1:7" x14ac:dyDescent="0.25">
      <c r="A205" s="5"/>
      <c r="B205" s="6">
        <v>-6</v>
      </c>
      <c r="C205" s="6">
        <v>-6.14</v>
      </c>
      <c r="D205" s="6"/>
      <c r="E205" s="6">
        <v>-5.86</v>
      </c>
      <c r="F205" s="6" t="s">
        <v>38</v>
      </c>
      <c r="G205" s="6" t="str">
        <f t="shared" si="7"/>
        <v>Not Done</v>
      </c>
    </row>
    <row r="206" spans="1:7" x14ac:dyDescent="0.25">
      <c r="A206" s="5" t="s">
        <v>41</v>
      </c>
      <c r="B206" s="6">
        <v>15</v>
      </c>
      <c r="C206" s="6">
        <v>14.3</v>
      </c>
      <c r="D206" s="6"/>
      <c r="E206" s="6">
        <v>15.7</v>
      </c>
      <c r="F206" s="6" t="s">
        <v>38</v>
      </c>
      <c r="G206" s="6" t="str">
        <f t="shared" si="7"/>
        <v>Not Done</v>
      </c>
    </row>
    <row r="207" spans="1:7" x14ac:dyDescent="0.25">
      <c r="A207" s="5"/>
      <c r="B207" s="6">
        <v>-15</v>
      </c>
      <c r="C207" s="6">
        <v>-15.7</v>
      </c>
      <c r="D207" s="6"/>
      <c r="E207" s="6">
        <v>-14.3</v>
      </c>
      <c r="F207" s="6" t="s">
        <v>38</v>
      </c>
      <c r="G207" s="6" t="str">
        <f t="shared" si="7"/>
        <v>Not Done</v>
      </c>
    </row>
    <row r="208" spans="1:7" x14ac:dyDescent="0.25">
      <c r="A208" s="5" t="s">
        <v>42</v>
      </c>
      <c r="B208" s="6">
        <v>30</v>
      </c>
      <c r="C208" s="6">
        <v>29</v>
      </c>
      <c r="D208" s="6"/>
      <c r="E208" s="6">
        <v>31</v>
      </c>
      <c r="F208" s="6" t="s">
        <v>38</v>
      </c>
      <c r="G208" s="6" t="str">
        <f t="shared" si="7"/>
        <v>Not Done</v>
      </c>
    </row>
    <row r="209" spans="1:7" x14ac:dyDescent="0.25">
      <c r="A209" s="5"/>
      <c r="B209" s="6">
        <v>-30</v>
      </c>
      <c r="C209" s="6">
        <v>-31</v>
      </c>
      <c r="D209" s="6"/>
      <c r="E209" s="6">
        <v>-29</v>
      </c>
      <c r="F209" s="6" t="s">
        <v>38</v>
      </c>
      <c r="G209" s="6" t="str">
        <f t="shared" si="7"/>
        <v>Not Done</v>
      </c>
    </row>
    <row r="210" spans="1:7" x14ac:dyDescent="0.25">
      <c r="A210" s="5" t="s">
        <v>43</v>
      </c>
      <c r="B210" s="6">
        <v>60</v>
      </c>
      <c r="C210" s="6">
        <v>58.6</v>
      </c>
      <c r="D210" s="6"/>
      <c r="E210" s="6">
        <v>61.4</v>
      </c>
      <c r="F210" s="6" t="s">
        <v>38</v>
      </c>
      <c r="G210" s="6" t="str">
        <f t="shared" si="7"/>
        <v>Not Done</v>
      </c>
    </row>
    <row r="211" spans="1:7" x14ac:dyDescent="0.25">
      <c r="A211" s="5"/>
      <c r="B211" s="6">
        <v>-60</v>
      </c>
      <c r="C211" s="6">
        <v>-61.4</v>
      </c>
      <c r="D211" s="6"/>
      <c r="E211" s="6">
        <v>-58.6</v>
      </c>
      <c r="F211" s="6" t="s">
        <v>38</v>
      </c>
      <c r="G211" s="6" t="str">
        <f t="shared" si="7"/>
        <v>Not Done</v>
      </c>
    </row>
    <row r="212" spans="1:7" x14ac:dyDescent="0.25">
      <c r="A212" s="5" t="s">
        <v>44</v>
      </c>
      <c r="B212" s="6">
        <v>150</v>
      </c>
      <c r="C212" s="6">
        <v>143</v>
      </c>
      <c r="D212" s="6"/>
      <c r="E212" s="6">
        <v>157</v>
      </c>
      <c r="F212" s="6" t="s">
        <v>38</v>
      </c>
      <c r="G212" s="6" t="str">
        <f t="shared" si="7"/>
        <v>Not Done</v>
      </c>
    </row>
    <row r="213" spans="1:7" x14ac:dyDescent="0.25">
      <c r="A213" s="5"/>
      <c r="B213" s="6">
        <v>-150</v>
      </c>
      <c r="C213" s="6">
        <v>-157</v>
      </c>
      <c r="D213" s="6"/>
      <c r="E213" s="6">
        <v>-143</v>
      </c>
      <c r="F213" s="6" t="s">
        <v>38</v>
      </c>
      <c r="G213" s="6" t="str">
        <f t="shared" si="7"/>
        <v>Not Done</v>
      </c>
    </row>
    <row r="214" spans="1:7" x14ac:dyDescent="0.25">
      <c r="A214" s="5" t="s">
        <v>45</v>
      </c>
      <c r="B214" s="6">
        <v>300</v>
      </c>
      <c r="C214" s="6">
        <v>290</v>
      </c>
      <c r="D214" s="6"/>
      <c r="E214" s="6">
        <v>310</v>
      </c>
      <c r="F214" s="6" t="s">
        <v>38</v>
      </c>
      <c r="G214" s="6" t="str">
        <f t="shared" si="7"/>
        <v>Not Done</v>
      </c>
    </row>
    <row r="215" spans="1:7" x14ac:dyDescent="0.25">
      <c r="A215" s="5"/>
      <c r="B215" s="6">
        <v>-300</v>
      </c>
      <c r="C215" s="6">
        <v>-310</v>
      </c>
      <c r="D215" s="6"/>
      <c r="E215" s="6">
        <v>-290</v>
      </c>
      <c r="F215" s="6" t="s">
        <v>38</v>
      </c>
      <c r="G215" s="6" t="str">
        <f t="shared" si="7"/>
        <v>Not Done</v>
      </c>
    </row>
    <row r="217" spans="1:7" ht="15.75" x14ac:dyDescent="0.25">
      <c r="A217" s="3" t="s">
        <v>55</v>
      </c>
    </row>
    <row r="218" spans="1:7" x14ac:dyDescent="0.25">
      <c r="A218" s="4" t="s">
        <v>23</v>
      </c>
      <c r="B218" s="4" t="s">
        <v>56</v>
      </c>
      <c r="C218" s="4" t="s">
        <v>25</v>
      </c>
      <c r="D218" s="4" t="s">
        <v>51</v>
      </c>
      <c r="E218" s="4" t="s">
        <v>26</v>
      </c>
      <c r="F218" s="4" t="s">
        <v>27</v>
      </c>
      <c r="G218" s="4" t="s">
        <v>28</v>
      </c>
    </row>
    <row r="219" spans="1:7" x14ac:dyDescent="0.25">
      <c r="A219" s="5" t="s">
        <v>29</v>
      </c>
      <c r="B219" s="6" t="s">
        <v>57</v>
      </c>
      <c r="C219" s="6">
        <v>3</v>
      </c>
      <c r="D219" s="6"/>
      <c r="E219" s="6">
        <v>5</v>
      </c>
      <c r="F219" s="6" t="s">
        <v>30</v>
      </c>
      <c r="G219" s="6" t="str">
        <f t="shared" ref="G219:G234" si="8">IF(ISBLANK(D219),"Not Done",IF(AND(D219&lt;=E219,D219&gt;=C219),"Pass","Fail"))</f>
        <v>Not Done</v>
      </c>
    </row>
    <row r="220" spans="1:7" x14ac:dyDescent="0.25">
      <c r="A220" s="5" t="s">
        <v>31</v>
      </c>
      <c r="B220" s="6" t="s">
        <v>58</v>
      </c>
      <c r="C220" s="6">
        <v>8.9</v>
      </c>
      <c r="D220" s="6"/>
      <c r="E220" s="6">
        <v>11.1</v>
      </c>
      <c r="F220" s="6" t="s">
        <v>30</v>
      </c>
      <c r="G220" s="6" t="str">
        <f t="shared" si="8"/>
        <v>Not Done</v>
      </c>
    </row>
    <row r="221" spans="1:7" x14ac:dyDescent="0.25">
      <c r="A221" s="5" t="s">
        <v>32</v>
      </c>
      <c r="B221" s="6" t="s">
        <v>59</v>
      </c>
      <c r="C221" s="6">
        <v>18</v>
      </c>
      <c r="D221" s="6"/>
      <c r="E221" s="6">
        <v>22</v>
      </c>
      <c r="F221" s="6" t="s">
        <v>30</v>
      </c>
      <c r="G221" s="6" t="str">
        <f t="shared" si="8"/>
        <v>Not Done</v>
      </c>
    </row>
    <row r="222" spans="1:7" x14ac:dyDescent="0.25">
      <c r="A222" s="5" t="s">
        <v>33</v>
      </c>
      <c r="B222" s="6" t="s">
        <v>60</v>
      </c>
      <c r="C222" s="6">
        <v>37.5</v>
      </c>
      <c r="D222" s="6"/>
      <c r="E222" s="6">
        <v>42.5</v>
      </c>
      <c r="F222" s="6" t="s">
        <v>30</v>
      </c>
      <c r="G222" s="6" t="str">
        <f t="shared" si="8"/>
        <v>Not Done</v>
      </c>
    </row>
    <row r="223" spans="1:7" x14ac:dyDescent="0.25">
      <c r="A223" s="5" t="s">
        <v>34</v>
      </c>
      <c r="B223" s="6" t="s">
        <v>61</v>
      </c>
      <c r="C223" s="6">
        <v>96</v>
      </c>
      <c r="D223" s="6"/>
      <c r="E223" s="6">
        <v>104</v>
      </c>
      <c r="F223" s="6" t="s">
        <v>30</v>
      </c>
      <c r="G223" s="6" t="str">
        <f t="shared" si="8"/>
        <v>Not Done</v>
      </c>
    </row>
    <row r="224" spans="1:7" x14ac:dyDescent="0.25">
      <c r="A224" s="5" t="s">
        <v>35</v>
      </c>
      <c r="B224" s="6" t="s">
        <v>62</v>
      </c>
      <c r="C224" s="6">
        <v>180</v>
      </c>
      <c r="D224" s="6"/>
      <c r="E224" s="6">
        <v>220</v>
      </c>
      <c r="F224" s="6" t="s">
        <v>30</v>
      </c>
      <c r="G224" s="6" t="str">
        <f t="shared" si="8"/>
        <v>Not Done</v>
      </c>
    </row>
    <row r="225" spans="1:7" x14ac:dyDescent="0.25">
      <c r="A225" s="5" t="s">
        <v>36</v>
      </c>
      <c r="B225" s="6" t="s">
        <v>63</v>
      </c>
      <c r="C225" s="6">
        <v>375</v>
      </c>
      <c r="D225" s="6"/>
      <c r="E225" s="6">
        <v>425</v>
      </c>
      <c r="F225" s="6" t="s">
        <v>30</v>
      </c>
      <c r="G225" s="6" t="str">
        <f t="shared" si="8"/>
        <v>Not Done</v>
      </c>
    </row>
    <row r="226" spans="1:7" x14ac:dyDescent="0.25">
      <c r="A226" s="5" t="s">
        <v>37</v>
      </c>
      <c r="B226" s="6" t="s">
        <v>64</v>
      </c>
      <c r="C226" s="6">
        <v>877</v>
      </c>
      <c r="D226" s="6"/>
      <c r="E226" s="6">
        <v>923</v>
      </c>
      <c r="F226" s="6" t="s">
        <v>30</v>
      </c>
      <c r="G226" s="6" t="str">
        <f t="shared" si="8"/>
        <v>Not Done</v>
      </c>
    </row>
    <row r="227" spans="1:7" x14ac:dyDescent="0.25">
      <c r="A227" s="5" t="s">
        <v>37</v>
      </c>
      <c r="B227" s="6" t="s">
        <v>65</v>
      </c>
      <c r="C227" s="6">
        <v>863</v>
      </c>
      <c r="D227" s="6"/>
      <c r="E227" s="6">
        <v>937</v>
      </c>
      <c r="F227" s="6" t="s">
        <v>30</v>
      </c>
      <c r="G227" s="6" t="str">
        <f t="shared" si="8"/>
        <v>Not Done</v>
      </c>
    </row>
    <row r="228" spans="1:7" x14ac:dyDescent="0.25">
      <c r="A228" s="5" t="s">
        <v>39</v>
      </c>
      <c r="B228" s="6" t="s">
        <v>66</v>
      </c>
      <c r="C228" s="6">
        <v>1.8</v>
      </c>
      <c r="D228" s="6"/>
      <c r="E228" s="6">
        <v>2.2000000000000002</v>
      </c>
      <c r="F228" s="6" t="s">
        <v>38</v>
      </c>
      <c r="G228" s="6" t="str">
        <f t="shared" si="8"/>
        <v>Not Done</v>
      </c>
    </row>
    <row r="229" spans="1:7" x14ac:dyDescent="0.25">
      <c r="A229" s="5" t="s">
        <v>40</v>
      </c>
      <c r="B229" s="6" t="s">
        <v>67</v>
      </c>
      <c r="C229" s="6">
        <v>3.75</v>
      </c>
      <c r="D229" s="6"/>
      <c r="E229" s="6">
        <v>4.25</v>
      </c>
      <c r="F229" s="6" t="s">
        <v>38</v>
      </c>
      <c r="G229" s="6" t="str">
        <f t="shared" si="8"/>
        <v>Not Done</v>
      </c>
    </row>
    <row r="230" spans="1:7" x14ac:dyDescent="0.25">
      <c r="A230" s="5" t="s">
        <v>41</v>
      </c>
      <c r="B230" s="6" t="s">
        <v>68</v>
      </c>
      <c r="C230" s="6">
        <v>8.6300000000000008</v>
      </c>
      <c r="D230" s="6"/>
      <c r="E230" s="6">
        <v>9.3699999999999992</v>
      </c>
      <c r="F230" s="6" t="s">
        <v>38</v>
      </c>
      <c r="G230" s="6" t="str">
        <f t="shared" si="8"/>
        <v>Not Done</v>
      </c>
    </row>
    <row r="231" spans="1:7" x14ac:dyDescent="0.25">
      <c r="A231" s="5" t="s">
        <v>42</v>
      </c>
      <c r="B231" s="6" t="s">
        <v>69</v>
      </c>
      <c r="C231" s="6">
        <v>18</v>
      </c>
      <c r="D231" s="6"/>
      <c r="E231" s="6">
        <v>22</v>
      </c>
      <c r="F231" s="6" t="s">
        <v>38</v>
      </c>
      <c r="G231" s="6" t="str">
        <f t="shared" si="8"/>
        <v>Not Done</v>
      </c>
    </row>
    <row r="232" spans="1:7" x14ac:dyDescent="0.25">
      <c r="A232" s="5" t="s">
        <v>43</v>
      </c>
      <c r="B232" s="6" t="s">
        <v>70</v>
      </c>
      <c r="C232" s="6">
        <v>37.5</v>
      </c>
      <c r="D232" s="6"/>
      <c r="E232" s="6">
        <v>42.5</v>
      </c>
      <c r="F232" s="6" t="s">
        <v>38</v>
      </c>
      <c r="G232" s="6" t="str">
        <f t="shared" si="8"/>
        <v>Not Done</v>
      </c>
    </row>
    <row r="233" spans="1:7" x14ac:dyDescent="0.25">
      <c r="A233" s="5" t="s">
        <v>44</v>
      </c>
      <c r="B233" s="6" t="s">
        <v>71</v>
      </c>
      <c r="C233" s="6">
        <v>86.3</v>
      </c>
      <c r="D233" s="6"/>
      <c r="E233" s="6">
        <v>93.7</v>
      </c>
      <c r="F233" s="6" t="s">
        <v>38</v>
      </c>
      <c r="G233" s="6" t="str">
        <f t="shared" si="8"/>
        <v>Not Done</v>
      </c>
    </row>
    <row r="234" spans="1:7" x14ac:dyDescent="0.25">
      <c r="A234" s="5" t="s">
        <v>45</v>
      </c>
      <c r="B234" s="6" t="s">
        <v>72</v>
      </c>
      <c r="C234" s="6">
        <v>180</v>
      </c>
      <c r="D234" s="6"/>
      <c r="E234" s="6">
        <v>220</v>
      </c>
      <c r="F234" s="6" t="s">
        <v>38</v>
      </c>
      <c r="G234" s="6" t="str">
        <f t="shared" si="8"/>
        <v>Not Done</v>
      </c>
    </row>
    <row r="236" spans="1:7" ht="15.75" x14ac:dyDescent="0.25">
      <c r="A236" s="3" t="s">
        <v>73</v>
      </c>
    </row>
    <row r="237" spans="1:7" x14ac:dyDescent="0.25">
      <c r="A237" s="4" t="s">
        <v>23</v>
      </c>
      <c r="B237" s="4" t="s">
        <v>56</v>
      </c>
      <c r="C237" s="4" t="s">
        <v>25</v>
      </c>
      <c r="D237" s="4" t="s">
        <v>51</v>
      </c>
      <c r="E237" s="4" t="s">
        <v>26</v>
      </c>
      <c r="F237" s="4" t="s">
        <v>27</v>
      </c>
      <c r="G237" s="4" t="s">
        <v>28</v>
      </c>
    </row>
    <row r="238" spans="1:7" x14ac:dyDescent="0.25">
      <c r="A238" s="5" t="s">
        <v>29</v>
      </c>
      <c r="B238" s="6" t="s">
        <v>57</v>
      </c>
      <c r="C238" s="6">
        <v>3</v>
      </c>
      <c r="D238" s="6"/>
      <c r="E238" s="6">
        <v>5</v>
      </c>
      <c r="F238" s="6" t="s">
        <v>30</v>
      </c>
      <c r="G238" s="6" t="str">
        <f t="shared" ref="G238:G253" si="9">IF(ISBLANK(D238),"Not Done",IF(AND(D238&lt;=E238,D238&gt;=C238),"Pass","Fail"))</f>
        <v>Not Done</v>
      </c>
    </row>
    <row r="239" spans="1:7" x14ac:dyDescent="0.25">
      <c r="A239" s="5" t="s">
        <v>31</v>
      </c>
      <c r="B239" s="6" t="s">
        <v>58</v>
      </c>
      <c r="C239" s="6">
        <v>8.9</v>
      </c>
      <c r="D239" s="6"/>
      <c r="E239" s="6">
        <v>11.1</v>
      </c>
      <c r="F239" s="6" t="s">
        <v>30</v>
      </c>
      <c r="G239" s="6" t="str">
        <f t="shared" si="9"/>
        <v>Not Done</v>
      </c>
    </row>
    <row r="240" spans="1:7" x14ac:dyDescent="0.25">
      <c r="A240" s="5" t="s">
        <v>32</v>
      </c>
      <c r="B240" s="6" t="s">
        <v>59</v>
      </c>
      <c r="C240" s="6">
        <v>18</v>
      </c>
      <c r="D240" s="6"/>
      <c r="E240" s="6">
        <v>22</v>
      </c>
      <c r="F240" s="6" t="s">
        <v>30</v>
      </c>
      <c r="G240" s="6" t="str">
        <f t="shared" si="9"/>
        <v>Not Done</v>
      </c>
    </row>
    <row r="241" spans="1:7" x14ac:dyDescent="0.25">
      <c r="A241" s="5" t="s">
        <v>33</v>
      </c>
      <c r="B241" s="6" t="s">
        <v>60</v>
      </c>
      <c r="C241" s="6">
        <v>37.5</v>
      </c>
      <c r="D241" s="6"/>
      <c r="E241" s="6">
        <v>42.5</v>
      </c>
      <c r="F241" s="6" t="s">
        <v>30</v>
      </c>
      <c r="G241" s="6" t="str">
        <f t="shared" si="9"/>
        <v>Not Done</v>
      </c>
    </row>
    <row r="242" spans="1:7" x14ac:dyDescent="0.25">
      <c r="A242" s="5" t="s">
        <v>34</v>
      </c>
      <c r="B242" s="6" t="s">
        <v>61</v>
      </c>
      <c r="C242" s="6">
        <v>96</v>
      </c>
      <c r="D242" s="6"/>
      <c r="E242" s="6">
        <v>104</v>
      </c>
      <c r="F242" s="6" t="s">
        <v>30</v>
      </c>
      <c r="G242" s="6" t="str">
        <f t="shared" si="9"/>
        <v>Not Done</v>
      </c>
    </row>
    <row r="243" spans="1:7" x14ac:dyDescent="0.25">
      <c r="A243" s="5" t="s">
        <v>35</v>
      </c>
      <c r="B243" s="6" t="s">
        <v>62</v>
      </c>
      <c r="C243" s="6">
        <v>180</v>
      </c>
      <c r="D243" s="6"/>
      <c r="E243" s="6">
        <v>220</v>
      </c>
      <c r="F243" s="6" t="s">
        <v>30</v>
      </c>
      <c r="G243" s="6" t="str">
        <f t="shared" si="9"/>
        <v>Not Done</v>
      </c>
    </row>
    <row r="244" spans="1:7" x14ac:dyDescent="0.25">
      <c r="A244" s="5" t="s">
        <v>36</v>
      </c>
      <c r="B244" s="6" t="s">
        <v>63</v>
      </c>
      <c r="C244" s="6">
        <v>375</v>
      </c>
      <c r="D244" s="6"/>
      <c r="E244" s="6">
        <v>425</v>
      </c>
      <c r="F244" s="6" t="s">
        <v>30</v>
      </c>
      <c r="G244" s="6" t="str">
        <f t="shared" si="9"/>
        <v>Not Done</v>
      </c>
    </row>
    <row r="245" spans="1:7" x14ac:dyDescent="0.25">
      <c r="A245" s="5" t="s">
        <v>37</v>
      </c>
      <c r="B245" s="6" t="s">
        <v>64</v>
      </c>
      <c r="C245" s="6">
        <v>877</v>
      </c>
      <c r="D245" s="6"/>
      <c r="E245" s="6">
        <v>923</v>
      </c>
      <c r="F245" s="6" t="s">
        <v>30</v>
      </c>
      <c r="G245" s="6" t="str">
        <f t="shared" si="9"/>
        <v>Not Done</v>
      </c>
    </row>
    <row r="246" spans="1:7" x14ac:dyDescent="0.25">
      <c r="A246" s="5" t="s">
        <v>37</v>
      </c>
      <c r="B246" s="6" t="s">
        <v>65</v>
      </c>
      <c r="C246" s="6">
        <v>863</v>
      </c>
      <c r="D246" s="6"/>
      <c r="E246" s="6">
        <v>937</v>
      </c>
      <c r="F246" s="6" t="s">
        <v>30</v>
      </c>
      <c r="G246" s="6" t="str">
        <f t="shared" si="9"/>
        <v>Not Done</v>
      </c>
    </row>
    <row r="247" spans="1:7" x14ac:dyDescent="0.25">
      <c r="A247" s="5" t="s">
        <v>39</v>
      </c>
      <c r="B247" s="6" t="s">
        <v>66</v>
      </c>
      <c r="C247" s="6">
        <v>1.8</v>
      </c>
      <c r="D247" s="6"/>
      <c r="E247" s="6">
        <v>2.2000000000000002</v>
      </c>
      <c r="F247" s="6" t="s">
        <v>38</v>
      </c>
      <c r="G247" s="6" t="str">
        <f t="shared" si="9"/>
        <v>Not Done</v>
      </c>
    </row>
    <row r="248" spans="1:7" x14ac:dyDescent="0.25">
      <c r="A248" s="5" t="s">
        <v>40</v>
      </c>
      <c r="B248" s="6" t="s">
        <v>67</v>
      </c>
      <c r="C248" s="6">
        <v>3.75</v>
      </c>
      <c r="D248" s="6"/>
      <c r="E248" s="6">
        <v>4.25</v>
      </c>
      <c r="F248" s="6" t="s">
        <v>38</v>
      </c>
      <c r="G248" s="6" t="str">
        <f t="shared" si="9"/>
        <v>Not Done</v>
      </c>
    </row>
    <row r="249" spans="1:7" x14ac:dyDescent="0.25">
      <c r="A249" s="5" t="s">
        <v>41</v>
      </c>
      <c r="B249" s="6" t="s">
        <v>68</v>
      </c>
      <c r="C249" s="6">
        <v>8.6300000000000008</v>
      </c>
      <c r="D249" s="6"/>
      <c r="E249" s="6">
        <v>9.3699999999999992</v>
      </c>
      <c r="F249" s="6" t="s">
        <v>38</v>
      </c>
      <c r="G249" s="6" t="str">
        <f t="shared" si="9"/>
        <v>Not Done</v>
      </c>
    </row>
    <row r="250" spans="1:7" x14ac:dyDescent="0.25">
      <c r="A250" s="5" t="s">
        <v>42</v>
      </c>
      <c r="B250" s="6" t="s">
        <v>69</v>
      </c>
      <c r="C250" s="6">
        <v>18</v>
      </c>
      <c r="D250" s="6"/>
      <c r="E250" s="6">
        <v>22</v>
      </c>
      <c r="F250" s="6" t="s">
        <v>38</v>
      </c>
      <c r="G250" s="6" t="str">
        <f t="shared" si="9"/>
        <v>Not Done</v>
      </c>
    </row>
    <row r="251" spans="1:7" x14ac:dyDescent="0.25">
      <c r="A251" s="5" t="s">
        <v>43</v>
      </c>
      <c r="B251" s="6" t="s">
        <v>70</v>
      </c>
      <c r="C251" s="6">
        <v>37.5</v>
      </c>
      <c r="D251" s="6"/>
      <c r="E251" s="6">
        <v>42.5</v>
      </c>
      <c r="F251" s="6" t="s">
        <v>38</v>
      </c>
      <c r="G251" s="6" t="str">
        <f t="shared" si="9"/>
        <v>Not Done</v>
      </c>
    </row>
    <row r="252" spans="1:7" x14ac:dyDescent="0.25">
      <c r="A252" s="5" t="s">
        <v>44</v>
      </c>
      <c r="B252" s="6" t="s">
        <v>71</v>
      </c>
      <c r="C252" s="6">
        <v>86.3</v>
      </c>
      <c r="D252" s="6"/>
      <c r="E252" s="6">
        <v>93.7</v>
      </c>
      <c r="F252" s="6" t="s">
        <v>38</v>
      </c>
      <c r="G252" s="6" t="str">
        <f t="shared" si="9"/>
        <v>Not Done</v>
      </c>
    </row>
    <row r="253" spans="1:7" x14ac:dyDescent="0.25">
      <c r="A253" s="5" t="s">
        <v>45</v>
      </c>
      <c r="B253" s="6" t="s">
        <v>72</v>
      </c>
      <c r="C253" s="6">
        <v>180</v>
      </c>
      <c r="D253" s="6"/>
      <c r="E253" s="6">
        <v>220</v>
      </c>
      <c r="F253" s="6" t="s">
        <v>38</v>
      </c>
      <c r="G253" s="6" t="str">
        <f t="shared" si="9"/>
        <v>Not Done</v>
      </c>
    </row>
    <row r="255" spans="1:7" ht="15.75" x14ac:dyDescent="0.25">
      <c r="A255" s="3" t="s">
        <v>74</v>
      </c>
    </row>
    <row r="256" spans="1:7" x14ac:dyDescent="0.25">
      <c r="A256" s="4" t="s">
        <v>23</v>
      </c>
      <c r="B256" s="4" t="s">
        <v>56</v>
      </c>
      <c r="C256" s="4" t="s">
        <v>25</v>
      </c>
      <c r="D256" s="4" t="s">
        <v>51</v>
      </c>
      <c r="E256" s="4" t="s">
        <v>26</v>
      </c>
      <c r="F256" s="4" t="s">
        <v>27</v>
      </c>
      <c r="G256" s="4" t="s">
        <v>28</v>
      </c>
    </row>
    <row r="257" spans="1:7" x14ac:dyDescent="0.25">
      <c r="A257" s="5" t="s">
        <v>29</v>
      </c>
      <c r="B257" s="6" t="s">
        <v>57</v>
      </c>
      <c r="C257" s="6">
        <v>3</v>
      </c>
      <c r="D257" s="6"/>
      <c r="E257" s="6">
        <v>5</v>
      </c>
      <c r="F257" s="6" t="s">
        <v>30</v>
      </c>
      <c r="G257" s="6" t="str">
        <f t="shared" ref="G257:G272" si="10">IF(ISBLANK(D257),"Not Done",IF(AND(D257&lt;=E257,D257&gt;=C257),"Pass","Fail"))</f>
        <v>Not Done</v>
      </c>
    </row>
    <row r="258" spans="1:7" x14ac:dyDescent="0.25">
      <c r="A258" s="5" t="s">
        <v>31</v>
      </c>
      <c r="B258" s="6" t="s">
        <v>58</v>
      </c>
      <c r="C258" s="6">
        <v>8.9</v>
      </c>
      <c r="D258" s="6"/>
      <c r="E258" s="6">
        <v>11.1</v>
      </c>
      <c r="F258" s="6" t="s">
        <v>30</v>
      </c>
      <c r="G258" s="6" t="str">
        <f t="shared" si="10"/>
        <v>Not Done</v>
      </c>
    </row>
    <row r="259" spans="1:7" x14ac:dyDescent="0.25">
      <c r="A259" s="5" t="s">
        <v>32</v>
      </c>
      <c r="B259" s="6" t="s">
        <v>59</v>
      </c>
      <c r="C259" s="6">
        <v>18</v>
      </c>
      <c r="D259" s="6"/>
      <c r="E259" s="6">
        <v>22</v>
      </c>
      <c r="F259" s="6" t="s">
        <v>30</v>
      </c>
      <c r="G259" s="6" t="str">
        <f t="shared" si="10"/>
        <v>Not Done</v>
      </c>
    </row>
    <row r="260" spans="1:7" x14ac:dyDescent="0.25">
      <c r="A260" s="5" t="s">
        <v>33</v>
      </c>
      <c r="B260" s="6" t="s">
        <v>60</v>
      </c>
      <c r="C260" s="6">
        <v>37.5</v>
      </c>
      <c r="D260" s="6"/>
      <c r="E260" s="6">
        <v>42.5</v>
      </c>
      <c r="F260" s="6" t="s">
        <v>30</v>
      </c>
      <c r="G260" s="6" t="str">
        <f t="shared" si="10"/>
        <v>Not Done</v>
      </c>
    </row>
    <row r="261" spans="1:7" x14ac:dyDescent="0.25">
      <c r="A261" s="5" t="s">
        <v>34</v>
      </c>
      <c r="B261" s="6" t="s">
        <v>61</v>
      </c>
      <c r="C261" s="6">
        <v>96</v>
      </c>
      <c r="D261" s="6"/>
      <c r="E261" s="6">
        <v>104</v>
      </c>
      <c r="F261" s="6" t="s">
        <v>30</v>
      </c>
      <c r="G261" s="6" t="str">
        <f t="shared" si="10"/>
        <v>Not Done</v>
      </c>
    </row>
    <row r="262" spans="1:7" x14ac:dyDescent="0.25">
      <c r="A262" s="5" t="s">
        <v>35</v>
      </c>
      <c r="B262" s="6" t="s">
        <v>62</v>
      </c>
      <c r="C262" s="6">
        <v>180</v>
      </c>
      <c r="D262" s="6"/>
      <c r="E262" s="6">
        <v>220</v>
      </c>
      <c r="F262" s="6" t="s">
        <v>30</v>
      </c>
      <c r="G262" s="6" t="str">
        <f t="shared" si="10"/>
        <v>Not Done</v>
      </c>
    </row>
    <row r="263" spans="1:7" x14ac:dyDescent="0.25">
      <c r="A263" s="5" t="s">
        <v>36</v>
      </c>
      <c r="B263" s="6" t="s">
        <v>63</v>
      </c>
      <c r="C263" s="6">
        <v>375</v>
      </c>
      <c r="D263" s="6"/>
      <c r="E263" s="6">
        <v>425</v>
      </c>
      <c r="F263" s="6" t="s">
        <v>30</v>
      </c>
      <c r="G263" s="6" t="str">
        <f t="shared" si="10"/>
        <v>Not Done</v>
      </c>
    </row>
    <row r="264" spans="1:7" x14ac:dyDescent="0.25">
      <c r="A264" s="5" t="s">
        <v>37</v>
      </c>
      <c r="B264" s="6" t="s">
        <v>64</v>
      </c>
      <c r="C264" s="6">
        <v>877</v>
      </c>
      <c r="D264" s="6"/>
      <c r="E264" s="6">
        <v>923</v>
      </c>
      <c r="F264" s="6" t="s">
        <v>30</v>
      </c>
      <c r="G264" s="6" t="str">
        <f t="shared" si="10"/>
        <v>Not Done</v>
      </c>
    </row>
    <row r="265" spans="1:7" x14ac:dyDescent="0.25">
      <c r="A265" s="5" t="s">
        <v>37</v>
      </c>
      <c r="B265" s="6" t="s">
        <v>65</v>
      </c>
      <c r="C265" s="6">
        <v>863</v>
      </c>
      <c r="D265" s="6"/>
      <c r="E265" s="6">
        <v>937</v>
      </c>
      <c r="F265" s="6" t="s">
        <v>30</v>
      </c>
      <c r="G265" s="6" t="str">
        <f t="shared" si="10"/>
        <v>Not Done</v>
      </c>
    </row>
    <row r="266" spans="1:7" x14ac:dyDescent="0.25">
      <c r="A266" s="5" t="s">
        <v>39</v>
      </c>
      <c r="B266" s="6" t="s">
        <v>66</v>
      </c>
      <c r="C266" s="6">
        <v>1.8</v>
      </c>
      <c r="D266" s="6"/>
      <c r="E266" s="6">
        <v>2.2000000000000002</v>
      </c>
      <c r="F266" s="6" t="s">
        <v>38</v>
      </c>
      <c r="G266" s="6" t="str">
        <f t="shared" si="10"/>
        <v>Not Done</v>
      </c>
    </row>
    <row r="267" spans="1:7" x14ac:dyDescent="0.25">
      <c r="A267" s="5" t="s">
        <v>40</v>
      </c>
      <c r="B267" s="6" t="s">
        <v>67</v>
      </c>
      <c r="C267" s="6">
        <v>3.75</v>
      </c>
      <c r="D267" s="6"/>
      <c r="E267" s="6">
        <v>4.25</v>
      </c>
      <c r="F267" s="6" t="s">
        <v>38</v>
      </c>
      <c r="G267" s="6" t="str">
        <f t="shared" si="10"/>
        <v>Not Done</v>
      </c>
    </row>
    <row r="268" spans="1:7" x14ac:dyDescent="0.25">
      <c r="A268" s="5" t="s">
        <v>41</v>
      </c>
      <c r="B268" s="6" t="s">
        <v>68</v>
      </c>
      <c r="C268" s="6">
        <v>8.6300000000000008</v>
      </c>
      <c r="D268" s="6"/>
      <c r="E268" s="6">
        <v>9.3699999999999992</v>
      </c>
      <c r="F268" s="6" t="s">
        <v>38</v>
      </c>
      <c r="G268" s="6" t="str">
        <f t="shared" si="10"/>
        <v>Not Done</v>
      </c>
    </row>
    <row r="269" spans="1:7" x14ac:dyDescent="0.25">
      <c r="A269" s="5" t="s">
        <v>42</v>
      </c>
      <c r="B269" s="6" t="s">
        <v>69</v>
      </c>
      <c r="C269" s="6">
        <v>18</v>
      </c>
      <c r="D269" s="6"/>
      <c r="E269" s="6">
        <v>22</v>
      </c>
      <c r="F269" s="6" t="s">
        <v>38</v>
      </c>
      <c r="G269" s="6" t="str">
        <f t="shared" si="10"/>
        <v>Not Done</v>
      </c>
    </row>
    <row r="270" spans="1:7" x14ac:dyDescent="0.25">
      <c r="A270" s="5" t="s">
        <v>43</v>
      </c>
      <c r="B270" s="6" t="s">
        <v>70</v>
      </c>
      <c r="C270" s="6">
        <v>37.5</v>
      </c>
      <c r="D270" s="6"/>
      <c r="E270" s="6">
        <v>42.5</v>
      </c>
      <c r="F270" s="6" t="s">
        <v>38</v>
      </c>
      <c r="G270" s="6" t="str">
        <f t="shared" si="10"/>
        <v>Not Done</v>
      </c>
    </row>
    <row r="271" spans="1:7" x14ac:dyDescent="0.25">
      <c r="A271" s="5" t="s">
        <v>44</v>
      </c>
      <c r="B271" s="6" t="s">
        <v>71</v>
      </c>
      <c r="C271" s="6">
        <v>86.3</v>
      </c>
      <c r="D271" s="6"/>
      <c r="E271" s="6">
        <v>93.7</v>
      </c>
      <c r="F271" s="6" t="s">
        <v>38</v>
      </c>
      <c r="G271" s="6" t="str">
        <f t="shared" si="10"/>
        <v>Not Done</v>
      </c>
    </row>
    <row r="272" spans="1:7" x14ac:dyDescent="0.25">
      <c r="A272" s="5" t="s">
        <v>45</v>
      </c>
      <c r="B272" s="6" t="s">
        <v>72</v>
      </c>
      <c r="C272" s="6">
        <v>180</v>
      </c>
      <c r="D272" s="6"/>
      <c r="E272" s="6">
        <v>220</v>
      </c>
      <c r="F272" s="6" t="s">
        <v>38</v>
      </c>
      <c r="G272" s="6" t="str">
        <f t="shared" si="10"/>
        <v>Not Done</v>
      </c>
    </row>
    <row r="274" spans="1:7" ht="15.75" x14ac:dyDescent="0.25">
      <c r="A274" s="3" t="s">
        <v>75</v>
      </c>
    </row>
    <row r="275" spans="1:7" x14ac:dyDescent="0.25">
      <c r="A275" s="4" t="s">
        <v>23</v>
      </c>
      <c r="B275" s="4" t="s">
        <v>56</v>
      </c>
      <c r="C275" s="4" t="s">
        <v>25</v>
      </c>
      <c r="D275" s="4" t="s">
        <v>51</v>
      </c>
      <c r="E275" s="4" t="s">
        <v>26</v>
      </c>
      <c r="F275" s="4" t="s">
        <v>27</v>
      </c>
      <c r="G275" s="4" t="s">
        <v>28</v>
      </c>
    </row>
    <row r="276" spans="1:7" x14ac:dyDescent="0.25">
      <c r="A276" s="5" t="s">
        <v>29</v>
      </c>
      <c r="B276" s="6" t="s">
        <v>57</v>
      </c>
      <c r="C276" s="6">
        <v>3</v>
      </c>
      <c r="D276" s="6"/>
      <c r="E276" s="6">
        <v>5</v>
      </c>
      <c r="F276" s="6" t="s">
        <v>30</v>
      </c>
      <c r="G276" s="6" t="str">
        <f t="shared" ref="G276:G291" si="11">IF(ISBLANK(D276),"Not Done",IF(AND(D276&lt;=E276,D276&gt;=C276),"Pass","Fail"))</f>
        <v>Not Done</v>
      </c>
    </row>
    <row r="277" spans="1:7" x14ac:dyDescent="0.25">
      <c r="A277" s="5" t="s">
        <v>31</v>
      </c>
      <c r="B277" s="6" t="s">
        <v>58</v>
      </c>
      <c r="C277" s="6">
        <v>8.9</v>
      </c>
      <c r="D277" s="6"/>
      <c r="E277" s="6">
        <v>11.1</v>
      </c>
      <c r="F277" s="6" t="s">
        <v>30</v>
      </c>
      <c r="G277" s="6" t="str">
        <f t="shared" si="11"/>
        <v>Not Done</v>
      </c>
    </row>
    <row r="278" spans="1:7" x14ac:dyDescent="0.25">
      <c r="A278" s="5" t="s">
        <v>32</v>
      </c>
      <c r="B278" s="6" t="s">
        <v>59</v>
      </c>
      <c r="C278" s="6">
        <v>18</v>
      </c>
      <c r="D278" s="6"/>
      <c r="E278" s="6">
        <v>22</v>
      </c>
      <c r="F278" s="6" t="s">
        <v>30</v>
      </c>
      <c r="G278" s="6" t="str">
        <f t="shared" si="11"/>
        <v>Not Done</v>
      </c>
    </row>
    <row r="279" spans="1:7" x14ac:dyDescent="0.25">
      <c r="A279" s="5" t="s">
        <v>33</v>
      </c>
      <c r="B279" s="6" t="s">
        <v>60</v>
      </c>
      <c r="C279" s="6">
        <v>37.5</v>
      </c>
      <c r="D279" s="6"/>
      <c r="E279" s="6">
        <v>42.5</v>
      </c>
      <c r="F279" s="6" t="s">
        <v>30</v>
      </c>
      <c r="G279" s="6" t="str">
        <f t="shared" si="11"/>
        <v>Not Done</v>
      </c>
    </row>
    <row r="280" spans="1:7" x14ac:dyDescent="0.25">
      <c r="A280" s="5" t="s">
        <v>34</v>
      </c>
      <c r="B280" s="6" t="s">
        <v>61</v>
      </c>
      <c r="C280" s="6">
        <v>96</v>
      </c>
      <c r="D280" s="6"/>
      <c r="E280" s="6">
        <v>104</v>
      </c>
      <c r="F280" s="6" t="s">
        <v>30</v>
      </c>
      <c r="G280" s="6" t="str">
        <f t="shared" si="11"/>
        <v>Not Done</v>
      </c>
    </row>
    <row r="281" spans="1:7" x14ac:dyDescent="0.25">
      <c r="A281" s="5" t="s">
        <v>35</v>
      </c>
      <c r="B281" s="6" t="s">
        <v>62</v>
      </c>
      <c r="C281" s="6">
        <v>180</v>
      </c>
      <c r="D281" s="6"/>
      <c r="E281" s="6">
        <v>220</v>
      </c>
      <c r="F281" s="6" t="s">
        <v>30</v>
      </c>
      <c r="G281" s="6" t="str">
        <f t="shared" si="11"/>
        <v>Not Done</v>
      </c>
    </row>
    <row r="282" spans="1:7" x14ac:dyDescent="0.25">
      <c r="A282" s="5" t="s">
        <v>36</v>
      </c>
      <c r="B282" s="6" t="s">
        <v>63</v>
      </c>
      <c r="C282" s="6">
        <v>375</v>
      </c>
      <c r="D282" s="6"/>
      <c r="E282" s="6">
        <v>425</v>
      </c>
      <c r="F282" s="6" t="s">
        <v>30</v>
      </c>
      <c r="G282" s="6" t="str">
        <f t="shared" si="11"/>
        <v>Not Done</v>
      </c>
    </row>
    <row r="283" spans="1:7" x14ac:dyDescent="0.25">
      <c r="A283" s="5" t="s">
        <v>37</v>
      </c>
      <c r="B283" s="6" t="s">
        <v>64</v>
      </c>
      <c r="C283" s="6">
        <v>877</v>
      </c>
      <c r="D283" s="6"/>
      <c r="E283" s="6">
        <v>923</v>
      </c>
      <c r="F283" s="6" t="s">
        <v>30</v>
      </c>
      <c r="G283" s="6" t="str">
        <f t="shared" si="11"/>
        <v>Not Done</v>
      </c>
    </row>
    <row r="284" spans="1:7" x14ac:dyDescent="0.25">
      <c r="A284" s="5" t="s">
        <v>37</v>
      </c>
      <c r="B284" s="6" t="s">
        <v>65</v>
      </c>
      <c r="C284" s="6">
        <v>863</v>
      </c>
      <c r="D284" s="6"/>
      <c r="E284" s="6">
        <v>937</v>
      </c>
      <c r="F284" s="6" t="s">
        <v>30</v>
      </c>
      <c r="G284" s="6" t="str">
        <f t="shared" si="11"/>
        <v>Not Done</v>
      </c>
    </row>
    <row r="285" spans="1:7" x14ac:dyDescent="0.25">
      <c r="A285" s="5" t="s">
        <v>39</v>
      </c>
      <c r="B285" s="6" t="s">
        <v>66</v>
      </c>
      <c r="C285" s="6">
        <v>1.8</v>
      </c>
      <c r="D285" s="6"/>
      <c r="E285" s="6">
        <v>2.2000000000000002</v>
      </c>
      <c r="F285" s="6" t="s">
        <v>38</v>
      </c>
      <c r="G285" s="6" t="str">
        <f t="shared" si="11"/>
        <v>Not Done</v>
      </c>
    </row>
    <row r="286" spans="1:7" x14ac:dyDescent="0.25">
      <c r="A286" s="5" t="s">
        <v>40</v>
      </c>
      <c r="B286" s="6" t="s">
        <v>67</v>
      </c>
      <c r="C286" s="6">
        <v>3.75</v>
      </c>
      <c r="D286" s="6"/>
      <c r="E286" s="6">
        <v>4.25</v>
      </c>
      <c r="F286" s="6" t="s">
        <v>38</v>
      </c>
      <c r="G286" s="6" t="str">
        <f t="shared" si="11"/>
        <v>Not Done</v>
      </c>
    </row>
    <row r="287" spans="1:7" x14ac:dyDescent="0.25">
      <c r="A287" s="5" t="s">
        <v>41</v>
      </c>
      <c r="B287" s="6" t="s">
        <v>68</v>
      </c>
      <c r="C287" s="6">
        <v>8.6300000000000008</v>
      </c>
      <c r="D287" s="6"/>
      <c r="E287" s="6">
        <v>9.3699999999999992</v>
      </c>
      <c r="F287" s="6" t="s">
        <v>38</v>
      </c>
      <c r="G287" s="6" t="str">
        <f t="shared" si="11"/>
        <v>Not Done</v>
      </c>
    </row>
    <row r="288" spans="1:7" x14ac:dyDescent="0.25">
      <c r="A288" s="5" t="s">
        <v>42</v>
      </c>
      <c r="B288" s="6" t="s">
        <v>69</v>
      </c>
      <c r="C288" s="6">
        <v>18</v>
      </c>
      <c r="D288" s="6"/>
      <c r="E288" s="6">
        <v>22</v>
      </c>
      <c r="F288" s="6" t="s">
        <v>38</v>
      </c>
      <c r="G288" s="6" t="str">
        <f t="shared" si="11"/>
        <v>Not Done</v>
      </c>
    </row>
    <row r="289" spans="1:7" x14ac:dyDescent="0.25">
      <c r="A289" s="5" t="s">
        <v>43</v>
      </c>
      <c r="B289" s="6" t="s">
        <v>70</v>
      </c>
      <c r="C289" s="6">
        <v>37.5</v>
      </c>
      <c r="D289" s="6"/>
      <c r="E289" s="6">
        <v>42.5</v>
      </c>
      <c r="F289" s="6" t="s">
        <v>38</v>
      </c>
      <c r="G289" s="6" t="str">
        <f t="shared" si="11"/>
        <v>Not Done</v>
      </c>
    </row>
    <row r="290" spans="1:7" x14ac:dyDescent="0.25">
      <c r="A290" s="5" t="s">
        <v>44</v>
      </c>
      <c r="B290" s="6" t="s">
        <v>71</v>
      </c>
      <c r="C290" s="6">
        <v>86.3</v>
      </c>
      <c r="D290" s="6"/>
      <c r="E290" s="6">
        <v>93.7</v>
      </c>
      <c r="F290" s="6" t="s">
        <v>38</v>
      </c>
      <c r="G290" s="6" t="str">
        <f t="shared" si="11"/>
        <v>Not Done</v>
      </c>
    </row>
    <row r="291" spans="1:7" x14ac:dyDescent="0.25">
      <c r="A291" s="5" t="s">
        <v>45</v>
      </c>
      <c r="B291" s="6" t="s">
        <v>72</v>
      </c>
      <c r="C291" s="6">
        <v>180</v>
      </c>
      <c r="D291" s="6"/>
      <c r="E291" s="6">
        <v>220</v>
      </c>
      <c r="F291" s="6" t="s">
        <v>38</v>
      </c>
      <c r="G291" s="6" t="str">
        <f t="shared" si="11"/>
        <v>Not Done</v>
      </c>
    </row>
    <row r="293" spans="1:7" ht="15.75" x14ac:dyDescent="0.25">
      <c r="A293" s="3" t="s">
        <v>76</v>
      </c>
    </row>
    <row r="294" spans="1:7" x14ac:dyDescent="0.25">
      <c r="A294" s="4" t="s">
        <v>56</v>
      </c>
      <c r="B294" s="4" t="s">
        <v>25</v>
      </c>
      <c r="C294" s="4" t="s">
        <v>51</v>
      </c>
      <c r="D294" s="4" t="s">
        <v>26</v>
      </c>
      <c r="E294" s="4" t="s">
        <v>27</v>
      </c>
      <c r="F294" s="4" t="s">
        <v>28</v>
      </c>
    </row>
    <row r="295" spans="1:7" x14ac:dyDescent="0.25">
      <c r="A295" s="7" t="s">
        <v>77</v>
      </c>
      <c r="B295" s="8"/>
      <c r="C295" s="8"/>
      <c r="D295" s="8"/>
      <c r="E295" s="9"/>
      <c r="F295" s="10"/>
    </row>
    <row r="296" spans="1:7" x14ac:dyDescent="0.25">
      <c r="A296" s="5" t="s">
        <v>64</v>
      </c>
      <c r="B296" s="6">
        <v>873</v>
      </c>
      <c r="C296" s="6"/>
      <c r="D296" s="6">
        <v>927</v>
      </c>
      <c r="E296" s="6" t="s">
        <v>30</v>
      </c>
      <c r="F296" s="6" t="str">
        <f>IF(ISBLANK(C296),"Not Done",IF(AND(C296&lt;=D296,C296&gt;=B296),"Pass","Fail"))</f>
        <v>Not Done</v>
      </c>
    </row>
    <row r="297" spans="1:7" x14ac:dyDescent="0.25">
      <c r="A297" s="5" t="s">
        <v>78</v>
      </c>
      <c r="B297" s="6">
        <v>630</v>
      </c>
      <c r="C297" s="6"/>
      <c r="D297" s="6"/>
      <c r="E297" s="6" t="s">
        <v>30</v>
      </c>
      <c r="F297" s="6" t="str">
        <f>IF(ISBLANK(C297),"Not Done",IF(AND(C297&lt;=D297,C297&gt;=B297),"Pass","Fail"))</f>
        <v>Not Done</v>
      </c>
    </row>
    <row r="298" spans="1:7" x14ac:dyDescent="0.25">
      <c r="A298" s="7" t="s">
        <v>79</v>
      </c>
      <c r="B298" s="8"/>
      <c r="C298" s="8"/>
      <c r="D298" s="8"/>
      <c r="E298" s="9"/>
      <c r="F298" s="10"/>
    </row>
    <row r="299" spans="1:7" x14ac:dyDescent="0.25">
      <c r="A299" s="5" t="s">
        <v>64</v>
      </c>
      <c r="B299" s="6">
        <v>873</v>
      </c>
      <c r="C299" s="6"/>
      <c r="D299" s="6">
        <v>927</v>
      </c>
      <c r="E299" s="6" t="s">
        <v>30</v>
      </c>
      <c r="F299" s="6" t="str">
        <f>IF(ISBLANK(C299),"Not Done",IF(AND(C299&lt;=D299,C299&gt;=B299),"Pass","Fail"))</f>
        <v>Not Done</v>
      </c>
    </row>
    <row r="300" spans="1:7" x14ac:dyDescent="0.25">
      <c r="A300" s="5" t="s">
        <v>78</v>
      </c>
      <c r="B300" s="6">
        <v>630</v>
      </c>
      <c r="C300" s="6"/>
      <c r="D300" s="6"/>
      <c r="E300" s="6" t="s">
        <v>30</v>
      </c>
      <c r="F300" s="6" t="str">
        <f>IF(ISBLANK(C300),"Not Done",IF(AND(C300&lt;=D300,C300&gt;=B300),"Pass","Fail"))</f>
        <v>Not Done</v>
      </c>
    </row>
    <row r="301" spans="1:7" x14ac:dyDescent="0.25">
      <c r="A301" s="7" t="s">
        <v>80</v>
      </c>
      <c r="B301" s="8"/>
      <c r="C301" s="8"/>
      <c r="D301" s="8"/>
      <c r="E301" s="9"/>
      <c r="F301" s="10"/>
    </row>
    <row r="302" spans="1:7" x14ac:dyDescent="0.25">
      <c r="A302" s="5" t="s">
        <v>64</v>
      </c>
      <c r="B302" s="6">
        <v>873</v>
      </c>
      <c r="C302" s="6"/>
      <c r="D302" s="6">
        <v>927</v>
      </c>
      <c r="E302" s="6" t="s">
        <v>30</v>
      </c>
      <c r="F302" s="6" t="str">
        <f>IF(ISBLANK(C302),"Not Done",IF(AND(C302&lt;=D302,C302&gt;=B302),"Pass","Fail"))</f>
        <v>Not Done</v>
      </c>
    </row>
    <row r="303" spans="1:7" x14ac:dyDescent="0.25">
      <c r="A303" s="5" t="s">
        <v>78</v>
      </c>
      <c r="B303" s="6">
        <v>630</v>
      </c>
      <c r="C303" s="6"/>
      <c r="D303" s="6"/>
      <c r="E303" s="6" t="s">
        <v>30</v>
      </c>
      <c r="F303" s="6" t="str">
        <f>IF(ISBLANK(C303),"Not Done",IF(AND(C303&lt;=D303,C303&gt;=B303),"Pass","Fail"))</f>
        <v>Not Done</v>
      </c>
    </row>
    <row r="304" spans="1:7" x14ac:dyDescent="0.25">
      <c r="A304" s="7" t="s">
        <v>81</v>
      </c>
      <c r="B304" s="8"/>
      <c r="C304" s="8"/>
      <c r="D304" s="8"/>
      <c r="E304" s="9"/>
      <c r="F304" s="10"/>
    </row>
    <row r="305" spans="1:6" x14ac:dyDescent="0.25">
      <c r="A305" s="5" t="s">
        <v>64</v>
      </c>
      <c r="B305" s="6">
        <v>873</v>
      </c>
      <c r="C305" s="6"/>
      <c r="D305" s="6">
        <v>927</v>
      </c>
      <c r="E305" s="6" t="s">
        <v>30</v>
      </c>
      <c r="F305" s="6" t="str">
        <f>IF(ISBLANK(C305),"Not Done",IF(AND(C305&lt;=D305,C305&gt;=B305),"Pass","Fail"))</f>
        <v>Not Done</v>
      </c>
    </row>
    <row r="306" spans="1:6" x14ac:dyDescent="0.25">
      <c r="A306" s="5" t="s">
        <v>78</v>
      </c>
      <c r="B306" s="6">
        <v>630</v>
      </c>
      <c r="C306" s="6"/>
      <c r="D306" s="6"/>
      <c r="E306" s="6" t="s">
        <v>30</v>
      </c>
      <c r="F306" s="6" t="str">
        <f>IF(ISBLANK(C306),"Not Done",IF(AND(C306&lt;=D306,C306&gt;=B306),"Pass","Fail"))</f>
        <v>Not Done</v>
      </c>
    </row>
    <row r="308" spans="1:6" ht="15.75" x14ac:dyDescent="0.25">
      <c r="A308" s="3" t="s">
        <v>82</v>
      </c>
    </row>
    <row r="309" spans="1:6" x14ac:dyDescent="0.25">
      <c r="A309" s="4" t="s">
        <v>56</v>
      </c>
      <c r="B309" s="4" t="s">
        <v>25</v>
      </c>
      <c r="C309" s="4" t="s">
        <v>51</v>
      </c>
      <c r="D309" s="4" t="s">
        <v>26</v>
      </c>
      <c r="E309" s="4" t="s">
        <v>27</v>
      </c>
      <c r="F309" s="4" t="s">
        <v>28</v>
      </c>
    </row>
    <row r="310" spans="1:6" x14ac:dyDescent="0.25">
      <c r="A310" s="7" t="s">
        <v>77</v>
      </c>
      <c r="B310" s="8"/>
      <c r="C310" s="8"/>
      <c r="D310" s="8"/>
      <c r="E310" s="9"/>
      <c r="F310" s="10"/>
    </row>
    <row r="311" spans="1:6" x14ac:dyDescent="0.25">
      <c r="A311" s="5" t="s">
        <v>83</v>
      </c>
      <c r="B311" s="6">
        <v>0.56000000000000005</v>
      </c>
      <c r="C311" s="6"/>
      <c r="D311" s="6">
        <v>0.64</v>
      </c>
      <c r="E311" s="6" t="s">
        <v>84</v>
      </c>
      <c r="F311" s="6" t="str">
        <f>IF(ISBLANK(C311),"Not Done",IF(AND(C311&lt;=D311,C311&gt;=B311),"Pass","Fail"))</f>
        <v>Not Done</v>
      </c>
    </row>
    <row r="312" spans="1:6" x14ac:dyDescent="0.25">
      <c r="A312" s="7" t="s">
        <v>79</v>
      </c>
      <c r="B312" s="8"/>
      <c r="C312" s="8"/>
      <c r="D312" s="8"/>
      <c r="E312" s="9"/>
      <c r="F312" s="10"/>
    </row>
    <row r="313" spans="1:6" x14ac:dyDescent="0.25">
      <c r="A313" s="5" t="s">
        <v>83</v>
      </c>
      <c r="B313" s="6">
        <v>0.56000000000000005</v>
      </c>
      <c r="C313" s="6"/>
      <c r="D313" s="6">
        <v>0.64</v>
      </c>
      <c r="E313" s="6" t="s">
        <v>84</v>
      </c>
      <c r="F313" s="6" t="str">
        <f>IF(ISBLANK(C313),"Not Done",IF(AND(C313&lt;=D313,C313&gt;=B313),"Pass","Fail"))</f>
        <v>Not Done</v>
      </c>
    </row>
    <row r="314" spans="1:6" x14ac:dyDescent="0.25">
      <c r="A314" s="7" t="s">
        <v>80</v>
      </c>
      <c r="B314" s="8"/>
      <c r="C314" s="8"/>
      <c r="D314" s="8"/>
      <c r="E314" s="9"/>
      <c r="F314" s="10"/>
    </row>
    <row r="315" spans="1:6" x14ac:dyDescent="0.25">
      <c r="A315" s="5" t="s">
        <v>83</v>
      </c>
      <c r="B315" s="6">
        <v>0.56000000000000005</v>
      </c>
      <c r="C315" s="6"/>
      <c r="D315" s="6">
        <v>0.64</v>
      </c>
      <c r="E315" s="6" t="s">
        <v>84</v>
      </c>
      <c r="F315" s="6" t="str">
        <f>IF(ISBLANK(C315),"Not Done",IF(AND(C315&lt;=D315,C315&gt;=B315),"Pass","Fail"))</f>
        <v>Not Done</v>
      </c>
    </row>
    <row r="316" spans="1:6" x14ac:dyDescent="0.25">
      <c r="A316" s="7" t="s">
        <v>81</v>
      </c>
      <c r="B316" s="8"/>
      <c r="C316" s="8"/>
      <c r="D316" s="8"/>
      <c r="E316" s="9"/>
      <c r="F316" s="10"/>
    </row>
    <row r="317" spans="1:6" x14ac:dyDescent="0.25">
      <c r="A317" s="5" t="s">
        <v>83</v>
      </c>
      <c r="B317" s="6">
        <v>0.56000000000000005</v>
      </c>
      <c r="C317" s="6"/>
      <c r="D317" s="6">
        <v>0.64</v>
      </c>
      <c r="E317" s="6" t="s">
        <v>84</v>
      </c>
      <c r="F317" s="6" t="str">
        <f>IF(ISBLANK(C317),"Not Done",IF(AND(C317&lt;=D317,C317&gt;=B317),"Pass","Fail"))</f>
        <v>Not Done</v>
      </c>
    </row>
    <row r="319" spans="1:6" ht="15.75" x14ac:dyDescent="0.25">
      <c r="A319" s="3" t="s">
        <v>85</v>
      </c>
    </row>
    <row r="320" spans="1:6" x14ac:dyDescent="0.25">
      <c r="A320" s="4" t="s">
        <v>56</v>
      </c>
      <c r="B320" s="4" t="s">
        <v>25</v>
      </c>
      <c r="C320" s="4" t="s">
        <v>51</v>
      </c>
      <c r="D320" s="4" t="s">
        <v>26</v>
      </c>
      <c r="E320" s="4" t="s">
        <v>27</v>
      </c>
      <c r="F320" s="4" t="s">
        <v>28</v>
      </c>
    </row>
    <row r="321" spans="1:6" x14ac:dyDescent="0.25">
      <c r="A321" s="5" t="s">
        <v>86</v>
      </c>
      <c r="B321" s="6">
        <v>-1</v>
      </c>
      <c r="C321" s="6"/>
      <c r="D321" s="6">
        <v>1</v>
      </c>
      <c r="E321" s="6" t="s">
        <v>87</v>
      </c>
      <c r="F321" s="6" t="str">
        <f>IF(ISBLANK(C321),"Not Done",IF(AND(C321&lt;=D321,C321&gt;=B321),"Pass","Fail"))</f>
        <v>Not Done</v>
      </c>
    </row>
    <row r="323" spans="1:6" ht="15.75" x14ac:dyDescent="0.25">
      <c r="A323" s="3" t="s">
        <v>90</v>
      </c>
    </row>
    <row r="324" spans="1:6" x14ac:dyDescent="0.25">
      <c r="A324" s="4" t="s">
        <v>56</v>
      </c>
      <c r="B324" s="4" t="s">
        <v>51</v>
      </c>
      <c r="C324" s="4" t="s">
        <v>26</v>
      </c>
      <c r="D324" s="4" t="s">
        <v>27</v>
      </c>
      <c r="E324" s="4" t="s">
        <v>28</v>
      </c>
    </row>
    <row r="325" spans="1:6" x14ac:dyDescent="0.25">
      <c r="A325" s="5" t="s">
        <v>94</v>
      </c>
      <c r="B325" s="6"/>
      <c r="C325" s="6">
        <v>350</v>
      </c>
      <c r="D325" s="6" t="s">
        <v>97</v>
      </c>
      <c r="E325" s="6" t="str">
        <f>IF(ISBLANK(B325),"Not Done",IF(B325&lt;=C325,"Pass","Fail"))</f>
        <v>Not Done</v>
      </c>
    </row>
    <row r="326" spans="1:6" x14ac:dyDescent="0.25">
      <c r="A326" s="5" t="s">
        <v>95</v>
      </c>
      <c r="B326" s="6"/>
      <c r="C326" s="6">
        <v>14</v>
      </c>
      <c r="D326" s="6" t="s">
        <v>97</v>
      </c>
      <c r="E326" s="6" t="str">
        <f t="shared" ref="E326:E327" si="12">IF(ISBLANK(B326),"Not Done",IF(B326&lt;=C326,"Pass","Fail"))</f>
        <v>Not Done</v>
      </c>
    </row>
    <row r="327" spans="1:6" x14ac:dyDescent="0.25">
      <c r="A327" s="5" t="s">
        <v>96</v>
      </c>
      <c r="B327" s="6"/>
      <c r="C327" s="6">
        <v>1.75</v>
      </c>
      <c r="D327" s="6" t="s">
        <v>97</v>
      </c>
      <c r="E327" s="6" t="str">
        <f t="shared" si="12"/>
        <v>Not Done</v>
      </c>
    </row>
    <row r="329" spans="1:6" ht="15.75" x14ac:dyDescent="0.25">
      <c r="A329" s="3" t="s">
        <v>91</v>
      </c>
    </row>
    <row r="330" spans="1:6" x14ac:dyDescent="0.25">
      <c r="A330" s="4" t="s">
        <v>56</v>
      </c>
      <c r="B330" s="4" t="s">
        <v>51</v>
      </c>
      <c r="C330" s="4" t="s">
        <v>26</v>
      </c>
      <c r="D330" s="4" t="s">
        <v>27</v>
      </c>
      <c r="E330" s="4" t="s">
        <v>28</v>
      </c>
    </row>
    <row r="331" spans="1:6" x14ac:dyDescent="0.25">
      <c r="A331" s="5" t="s">
        <v>94</v>
      </c>
      <c r="B331" s="6"/>
      <c r="C331" s="6">
        <v>350</v>
      </c>
      <c r="D331" s="6" t="s">
        <v>97</v>
      </c>
      <c r="E331" s="6" t="str">
        <f>IF(ISBLANK(B331),"Not Done",IF(B331&lt;=C331,"Pass","Fail"))</f>
        <v>Not Done</v>
      </c>
    </row>
    <row r="332" spans="1:6" x14ac:dyDescent="0.25">
      <c r="A332" s="5" t="s">
        <v>95</v>
      </c>
      <c r="B332" s="6"/>
      <c r="C332" s="6">
        <v>14</v>
      </c>
      <c r="D332" s="6" t="s">
        <v>97</v>
      </c>
      <c r="E332" s="6" t="str">
        <f t="shared" ref="E332:E333" si="13">IF(ISBLANK(B332),"Not Done",IF(B332&lt;=C332,"Pass","Fail"))</f>
        <v>Not Done</v>
      </c>
    </row>
    <row r="333" spans="1:6" x14ac:dyDescent="0.25">
      <c r="A333" s="5" t="s">
        <v>96</v>
      </c>
      <c r="B333" s="6"/>
      <c r="C333" s="6">
        <v>1.75</v>
      </c>
      <c r="D333" s="6" t="s">
        <v>97</v>
      </c>
      <c r="E333" s="6" t="str">
        <f t="shared" si="13"/>
        <v>Not Done</v>
      </c>
    </row>
    <row r="335" spans="1:6" ht="15.75" x14ac:dyDescent="0.25">
      <c r="A335" s="3" t="s">
        <v>92</v>
      </c>
    </row>
    <row r="336" spans="1:6" x14ac:dyDescent="0.25">
      <c r="A336" s="4" t="s">
        <v>56</v>
      </c>
      <c r="B336" s="4" t="s">
        <v>51</v>
      </c>
      <c r="C336" s="4" t="s">
        <v>26</v>
      </c>
      <c r="D336" s="4" t="s">
        <v>27</v>
      </c>
      <c r="E336" s="4" t="s">
        <v>28</v>
      </c>
    </row>
    <row r="337" spans="1:5" x14ac:dyDescent="0.25">
      <c r="A337" s="5" t="s">
        <v>94</v>
      </c>
      <c r="B337" s="6"/>
      <c r="C337" s="6">
        <v>350</v>
      </c>
      <c r="D337" s="6" t="s">
        <v>97</v>
      </c>
      <c r="E337" s="6" t="str">
        <f>IF(ISBLANK(B337),"Not Done",IF(B337&lt;=C337,"Pass","Fail"))</f>
        <v>Not Done</v>
      </c>
    </row>
    <row r="338" spans="1:5" x14ac:dyDescent="0.25">
      <c r="A338" s="5" t="s">
        <v>95</v>
      </c>
      <c r="B338" s="6"/>
      <c r="C338" s="6">
        <v>14</v>
      </c>
      <c r="D338" s="6" t="s">
        <v>97</v>
      </c>
      <c r="E338" s="6" t="str">
        <f t="shared" ref="E338:E339" si="14">IF(ISBLANK(B338),"Not Done",IF(B338&lt;=C338,"Pass","Fail"))</f>
        <v>Not Done</v>
      </c>
    </row>
    <row r="339" spans="1:5" x14ac:dyDescent="0.25">
      <c r="A339" s="5" t="s">
        <v>96</v>
      </c>
      <c r="B339" s="6"/>
      <c r="C339" s="6">
        <v>1.75</v>
      </c>
      <c r="D339" s="6" t="s">
        <v>97</v>
      </c>
      <c r="E339" s="6" t="str">
        <f t="shared" si="14"/>
        <v>Not Done</v>
      </c>
    </row>
    <row r="341" spans="1:5" ht="15.75" x14ac:dyDescent="0.25">
      <c r="A341" s="3" t="s">
        <v>93</v>
      </c>
    </row>
    <row r="342" spans="1:5" x14ac:dyDescent="0.25">
      <c r="A342" s="4" t="s">
        <v>56</v>
      </c>
      <c r="B342" s="4" t="s">
        <v>51</v>
      </c>
      <c r="C342" s="4" t="s">
        <v>26</v>
      </c>
      <c r="D342" s="4" t="s">
        <v>27</v>
      </c>
      <c r="E342" s="4" t="s">
        <v>28</v>
      </c>
    </row>
    <row r="343" spans="1:5" x14ac:dyDescent="0.25">
      <c r="A343" s="5" t="s">
        <v>94</v>
      </c>
      <c r="B343" s="6"/>
      <c r="C343" s="6">
        <v>350</v>
      </c>
      <c r="D343" s="6" t="s">
        <v>97</v>
      </c>
      <c r="E343" s="6" t="str">
        <f>IF(ISBLANK(B343),"Not Done",IF(B343&lt;=C343,"Pass","Fail"))</f>
        <v>Not Done</v>
      </c>
    </row>
    <row r="344" spans="1:5" x14ac:dyDescent="0.25">
      <c r="A344" s="5" t="s">
        <v>95</v>
      </c>
      <c r="B344" s="6"/>
      <c r="C344" s="6">
        <v>14</v>
      </c>
      <c r="D344" s="6" t="s">
        <v>97</v>
      </c>
      <c r="E344" s="6" t="str">
        <f t="shared" ref="E344:E345" si="15">IF(ISBLANK(B344),"Not Done",IF(B344&lt;=C344,"Pass","Fail"))</f>
        <v>Not Done</v>
      </c>
    </row>
    <row r="345" spans="1:5" x14ac:dyDescent="0.25">
      <c r="A345" s="5" t="s">
        <v>96</v>
      </c>
      <c r="B345" s="6"/>
      <c r="C345" s="6">
        <v>1.75</v>
      </c>
      <c r="D345" s="6" t="s">
        <v>97</v>
      </c>
      <c r="E345" s="6" t="str">
        <f t="shared" si="15"/>
        <v>Not Done</v>
      </c>
    </row>
    <row r="347" spans="1:5" x14ac:dyDescent="0.25">
      <c r="C347" s="11" t="s">
        <v>88</v>
      </c>
    </row>
  </sheetData>
  <conditionalFormatting sqref="B5">
    <cfRule type="containsText" dxfId="549" priority="7" operator="containsText" text="highlight">
      <formula>ISBLANK(B5)</formula>
    </cfRule>
  </conditionalFormatting>
  <conditionalFormatting sqref="F5">
    <cfRule type="containsText" dxfId="548" priority="8" operator="containsText" text="highlight">
      <formula>ISBLANK(F5)</formula>
    </cfRule>
  </conditionalFormatting>
  <conditionalFormatting sqref="B7">
    <cfRule type="containsText" dxfId="547" priority="9" operator="containsText" text="highlight">
      <formula>ISBLANK(B7)</formula>
    </cfRule>
  </conditionalFormatting>
  <conditionalFormatting sqref="F9">
    <cfRule type="containsText" dxfId="546" priority="10" operator="containsText" text="highlight">
      <formula>ISBLANK(F9)</formula>
    </cfRule>
  </conditionalFormatting>
  <conditionalFormatting sqref="B11">
    <cfRule type="containsText" dxfId="545" priority="11" operator="containsText" text="highlight">
      <formula>ISBLANK(B11)</formula>
    </cfRule>
  </conditionalFormatting>
  <conditionalFormatting sqref="F10">
    <cfRule type="containsText" dxfId="544" priority="12" operator="containsText" text="highlight">
      <formula>ISBLANK(F10)</formula>
    </cfRule>
  </conditionalFormatting>
  <conditionalFormatting sqref="G15">
    <cfRule type="containsText" dxfId="543" priority="13" operator="containsText" text="highlight">
      <formula>G15="Fail"</formula>
    </cfRule>
    <cfRule type="containsText" dxfId="542" priority="14" operator="containsText" text="highlight">
      <formula>G15="Pass"</formula>
    </cfRule>
  </conditionalFormatting>
  <conditionalFormatting sqref="G16">
    <cfRule type="containsText" dxfId="541" priority="15" operator="containsText" text="highlight">
      <formula>G16="Fail"</formula>
    </cfRule>
    <cfRule type="containsText" dxfId="540" priority="16" operator="containsText" text="highlight">
      <formula>G16="Pass"</formula>
    </cfRule>
  </conditionalFormatting>
  <conditionalFormatting sqref="G17">
    <cfRule type="containsText" dxfId="539" priority="17" operator="containsText" text="highlight">
      <formula>G17="Fail"</formula>
    </cfRule>
    <cfRule type="containsText" dxfId="538" priority="18" operator="containsText" text="highlight">
      <formula>G17="Pass"</formula>
    </cfRule>
  </conditionalFormatting>
  <conditionalFormatting sqref="G18">
    <cfRule type="containsText" dxfId="537" priority="19" operator="containsText" text="highlight">
      <formula>G18="Fail"</formula>
    </cfRule>
    <cfRule type="containsText" dxfId="536" priority="20" operator="containsText" text="highlight">
      <formula>G18="Pass"</formula>
    </cfRule>
  </conditionalFormatting>
  <conditionalFormatting sqref="G19">
    <cfRule type="containsText" dxfId="535" priority="21" operator="containsText" text="highlight">
      <formula>G19="Fail"</formula>
    </cfRule>
    <cfRule type="containsText" dxfId="534" priority="22" operator="containsText" text="highlight">
      <formula>G19="Pass"</formula>
    </cfRule>
  </conditionalFormatting>
  <conditionalFormatting sqref="G20">
    <cfRule type="containsText" dxfId="533" priority="23" operator="containsText" text="highlight">
      <formula>G20="Fail"</formula>
    </cfRule>
    <cfRule type="containsText" dxfId="532" priority="24" operator="containsText" text="highlight">
      <formula>G20="Pass"</formula>
    </cfRule>
  </conditionalFormatting>
  <conditionalFormatting sqref="G21">
    <cfRule type="containsText" dxfId="531" priority="25" operator="containsText" text="highlight">
      <formula>G21="Fail"</formula>
    </cfRule>
    <cfRule type="containsText" dxfId="530" priority="26" operator="containsText" text="highlight">
      <formula>G21="Pass"</formula>
    </cfRule>
  </conditionalFormatting>
  <conditionalFormatting sqref="G22">
    <cfRule type="containsText" dxfId="529" priority="27" operator="containsText" text="highlight">
      <formula>G22="Fail"</formula>
    </cfRule>
    <cfRule type="containsText" dxfId="528" priority="28" operator="containsText" text="highlight">
      <formula>G22="Pass"</formula>
    </cfRule>
  </conditionalFormatting>
  <conditionalFormatting sqref="G23">
    <cfRule type="containsText" dxfId="527" priority="29" operator="containsText" text="highlight">
      <formula>G23="Fail"</formula>
    </cfRule>
    <cfRule type="containsText" dxfId="526" priority="30" operator="containsText" text="highlight">
      <formula>G23="Pass"</formula>
    </cfRule>
  </conditionalFormatting>
  <conditionalFormatting sqref="G24">
    <cfRule type="containsText" dxfId="525" priority="31" operator="containsText" text="highlight">
      <formula>G24="Fail"</formula>
    </cfRule>
    <cfRule type="containsText" dxfId="524" priority="32" operator="containsText" text="highlight">
      <formula>G24="Pass"</formula>
    </cfRule>
  </conditionalFormatting>
  <conditionalFormatting sqref="G25">
    <cfRule type="containsText" dxfId="523" priority="33" operator="containsText" text="highlight">
      <formula>G25="Fail"</formula>
    </cfRule>
    <cfRule type="containsText" dxfId="522" priority="34" operator="containsText" text="highlight">
      <formula>G25="Pass"</formula>
    </cfRule>
  </conditionalFormatting>
  <conditionalFormatting sqref="G26">
    <cfRule type="containsText" dxfId="521" priority="35" operator="containsText" text="highlight">
      <formula>G26="Fail"</formula>
    </cfRule>
    <cfRule type="containsText" dxfId="520" priority="36" operator="containsText" text="highlight">
      <formula>G26="Pass"</formula>
    </cfRule>
  </conditionalFormatting>
  <conditionalFormatting sqref="G27">
    <cfRule type="containsText" dxfId="519" priority="37" operator="containsText" text="highlight">
      <formula>G27="Fail"</formula>
    </cfRule>
    <cfRule type="containsText" dxfId="518" priority="38" operator="containsText" text="highlight">
      <formula>G27="Pass"</formula>
    </cfRule>
  </conditionalFormatting>
  <conditionalFormatting sqref="G28">
    <cfRule type="containsText" dxfId="517" priority="39" operator="containsText" text="highlight">
      <formula>G28="Fail"</formula>
    </cfRule>
    <cfRule type="containsText" dxfId="516" priority="40" operator="containsText" text="highlight">
      <formula>G28="Pass"</formula>
    </cfRule>
  </conditionalFormatting>
  <conditionalFormatting sqref="G29">
    <cfRule type="containsText" dxfId="515" priority="41" operator="containsText" text="highlight">
      <formula>G29="Fail"</formula>
    </cfRule>
    <cfRule type="containsText" dxfId="514" priority="42" operator="containsText" text="highlight">
      <formula>G29="Pass"</formula>
    </cfRule>
  </conditionalFormatting>
  <conditionalFormatting sqref="G33">
    <cfRule type="containsText" dxfId="513" priority="43" operator="containsText" text="highlight">
      <formula>G33="Fail"</formula>
    </cfRule>
    <cfRule type="containsText" dxfId="512" priority="44" operator="containsText" text="highlight">
      <formula>G33="Pass"</formula>
    </cfRule>
  </conditionalFormatting>
  <conditionalFormatting sqref="G34">
    <cfRule type="containsText" dxfId="511" priority="45" operator="containsText" text="highlight">
      <formula>G34="Fail"</formula>
    </cfRule>
    <cfRule type="containsText" dxfId="510" priority="46" operator="containsText" text="highlight">
      <formula>G34="Pass"</formula>
    </cfRule>
  </conditionalFormatting>
  <conditionalFormatting sqref="G35">
    <cfRule type="containsText" dxfId="509" priority="47" operator="containsText" text="highlight">
      <formula>G35="Fail"</formula>
    </cfRule>
    <cfRule type="containsText" dxfId="508" priority="48" operator="containsText" text="highlight">
      <formula>G35="Pass"</formula>
    </cfRule>
  </conditionalFormatting>
  <conditionalFormatting sqref="G36">
    <cfRule type="containsText" dxfId="507" priority="49" operator="containsText" text="highlight">
      <formula>G36="Fail"</formula>
    </cfRule>
    <cfRule type="containsText" dxfId="506" priority="50" operator="containsText" text="highlight">
      <formula>G36="Pass"</formula>
    </cfRule>
  </conditionalFormatting>
  <conditionalFormatting sqref="G37">
    <cfRule type="containsText" dxfId="505" priority="51" operator="containsText" text="highlight">
      <formula>G37="Fail"</formula>
    </cfRule>
    <cfRule type="containsText" dxfId="504" priority="52" operator="containsText" text="highlight">
      <formula>G37="Pass"</formula>
    </cfRule>
  </conditionalFormatting>
  <conditionalFormatting sqref="G38">
    <cfRule type="containsText" dxfId="503" priority="53" operator="containsText" text="highlight">
      <formula>G38="Fail"</formula>
    </cfRule>
    <cfRule type="containsText" dxfId="502" priority="54" operator="containsText" text="highlight">
      <formula>G38="Pass"</formula>
    </cfRule>
  </conditionalFormatting>
  <conditionalFormatting sqref="G39">
    <cfRule type="containsText" dxfId="501" priority="55" operator="containsText" text="highlight">
      <formula>G39="Fail"</formula>
    </cfRule>
    <cfRule type="containsText" dxfId="500" priority="56" operator="containsText" text="highlight">
      <formula>G39="Pass"</formula>
    </cfRule>
  </conditionalFormatting>
  <conditionalFormatting sqref="G40">
    <cfRule type="containsText" dxfId="499" priority="57" operator="containsText" text="highlight">
      <formula>G40="Fail"</formula>
    </cfRule>
    <cfRule type="containsText" dxfId="498" priority="58" operator="containsText" text="highlight">
      <formula>G40="Pass"</formula>
    </cfRule>
  </conditionalFormatting>
  <conditionalFormatting sqref="G41">
    <cfRule type="containsText" dxfId="497" priority="59" operator="containsText" text="highlight">
      <formula>G41="Fail"</formula>
    </cfRule>
    <cfRule type="containsText" dxfId="496" priority="60" operator="containsText" text="highlight">
      <formula>G41="Pass"</formula>
    </cfRule>
  </conditionalFormatting>
  <conditionalFormatting sqref="G42">
    <cfRule type="containsText" dxfId="495" priority="61" operator="containsText" text="highlight">
      <formula>G42="Fail"</formula>
    </cfRule>
    <cfRule type="containsText" dxfId="494" priority="62" operator="containsText" text="highlight">
      <formula>G42="Pass"</formula>
    </cfRule>
  </conditionalFormatting>
  <conditionalFormatting sqref="G43">
    <cfRule type="containsText" dxfId="493" priority="63" operator="containsText" text="highlight">
      <formula>G43="Fail"</formula>
    </cfRule>
    <cfRule type="containsText" dxfId="492" priority="64" operator="containsText" text="highlight">
      <formula>G43="Pass"</formula>
    </cfRule>
  </conditionalFormatting>
  <conditionalFormatting sqref="G44">
    <cfRule type="containsText" dxfId="491" priority="65" operator="containsText" text="highlight">
      <formula>G44="Fail"</formula>
    </cfRule>
    <cfRule type="containsText" dxfId="490" priority="66" operator="containsText" text="highlight">
      <formula>G44="Pass"</formula>
    </cfRule>
  </conditionalFormatting>
  <conditionalFormatting sqref="G45">
    <cfRule type="containsText" dxfId="489" priority="67" operator="containsText" text="highlight">
      <formula>G45="Fail"</formula>
    </cfRule>
    <cfRule type="containsText" dxfId="488" priority="68" operator="containsText" text="highlight">
      <formula>G45="Pass"</formula>
    </cfRule>
  </conditionalFormatting>
  <conditionalFormatting sqref="G46">
    <cfRule type="containsText" dxfId="487" priority="69" operator="containsText" text="highlight">
      <formula>G46="Fail"</formula>
    </cfRule>
    <cfRule type="containsText" dxfId="486" priority="70" operator="containsText" text="highlight">
      <formula>G46="Pass"</formula>
    </cfRule>
  </conditionalFormatting>
  <conditionalFormatting sqref="G47">
    <cfRule type="containsText" dxfId="485" priority="71" operator="containsText" text="highlight">
      <formula>G47="Fail"</formula>
    </cfRule>
    <cfRule type="containsText" dxfId="484" priority="72" operator="containsText" text="highlight">
      <formula>G47="Pass"</formula>
    </cfRule>
  </conditionalFormatting>
  <conditionalFormatting sqref="G51">
    <cfRule type="containsText" dxfId="483" priority="73" operator="containsText" text="highlight">
      <formula>G51="Fail"</formula>
    </cfRule>
    <cfRule type="containsText" dxfId="482" priority="74" operator="containsText" text="highlight">
      <formula>G51="Pass"</formula>
    </cfRule>
  </conditionalFormatting>
  <conditionalFormatting sqref="G52">
    <cfRule type="containsText" dxfId="481" priority="75" operator="containsText" text="highlight">
      <formula>G52="Fail"</formula>
    </cfRule>
    <cfRule type="containsText" dxfId="480" priority="76" operator="containsText" text="highlight">
      <formula>G52="Pass"</formula>
    </cfRule>
  </conditionalFormatting>
  <conditionalFormatting sqref="G53">
    <cfRule type="containsText" dxfId="479" priority="77" operator="containsText" text="highlight">
      <formula>G53="Fail"</formula>
    </cfRule>
    <cfRule type="containsText" dxfId="478" priority="78" operator="containsText" text="highlight">
      <formula>G53="Pass"</formula>
    </cfRule>
  </conditionalFormatting>
  <conditionalFormatting sqref="G54">
    <cfRule type="containsText" dxfId="477" priority="79" operator="containsText" text="highlight">
      <formula>G54="Fail"</formula>
    </cfRule>
    <cfRule type="containsText" dxfId="476" priority="80" operator="containsText" text="highlight">
      <formula>G54="Pass"</formula>
    </cfRule>
  </conditionalFormatting>
  <conditionalFormatting sqref="G55">
    <cfRule type="containsText" dxfId="475" priority="81" operator="containsText" text="highlight">
      <formula>G55="Fail"</formula>
    </cfRule>
    <cfRule type="containsText" dxfId="474" priority="82" operator="containsText" text="highlight">
      <formula>G55="Pass"</formula>
    </cfRule>
  </conditionalFormatting>
  <conditionalFormatting sqref="G56">
    <cfRule type="containsText" dxfId="473" priority="83" operator="containsText" text="highlight">
      <formula>G56="Fail"</formula>
    </cfRule>
    <cfRule type="containsText" dxfId="472" priority="84" operator="containsText" text="highlight">
      <formula>G56="Pass"</formula>
    </cfRule>
  </conditionalFormatting>
  <conditionalFormatting sqref="G57">
    <cfRule type="containsText" dxfId="471" priority="85" operator="containsText" text="highlight">
      <formula>G57="Fail"</formula>
    </cfRule>
    <cfRule type="containsText" dxfId="470" priority="86" operator="containsText" text="highlight">
      <formula>G57="Pass"</formula>
    </cfRule>
  </conditionalFormatting>
  <conditionalFormatting sqref="G58">
    <cfRule type="containsText" dxfId="469" priority="87" operator="containsText" text="highlight">
      <formula>G58="Fail"</formula>
    </cfRule>
    <cfRule type="containsText" dxfId="468" priority="88" operator="containsText" text="highlight">
      <formula>G58="Pass"</formula>
    </cfRule>
  </conditionalFormatting>
  <conditionalFormatting sqref="G59">
    <cfRule type="containsText" dxfId="467" priority="89" operator="containsText" text="highlight">
      <formula>G59="Fail"</formula>
    </cfRule>
    <cfRule type="containsText" dxfId="466" priority="90" operator="containsText" text="highlight">
      <formula>G59="Pass"</formula>
    </cfRule>
  </conditionalFormatting>
  <conditionalFormatting sqref="G60">
    <cfRule type="containsText" dxfId="465" priority="91" operator="containsText" text="highlight">
      <formula>G60="Fail"</formula>
    </cfRule>
    <cfRule type="containsText" dxfId="464" priority="92" operator="containsText" text="highlight">
      <formula>G60="Pass"</formula>
    </cfRule>
  </conditionalFormatting>
  <conditionalFormatting sqref="G61">
    <cfRule type="containsText" dxfId="463" priority="93" operator="containsText" text="highlight">
      <formula>G61="Fail"</formula>
    </cfRule>
    <cfRule type="containsText" dxfId="462" priority="94" operator="containsText" text="highlight">
      <formula>G61="Pass"</formula>
    </cfRule>
  </conditionalFormatting>
  <conditionalFormatting sqref="G62">
    <cfRule type="containsText" dxfId="461" priority="95" operator="containsText" text="highlight">
      <formula>G62="Fail"</formula>
    </cfRule>
    <cfRule type="containsText" dxfId="460" priority="96" operator="containsText" text="highlight">
      <formula>G62="Pass"</formula>
    </cfRule>
  </conditionalFormatting>
  <conditionalFormatting sqref="G63">
    <cfRule type="containsText" dxfId="459" priority="97" operator="containsText" text="highlight">
      <formula>G63="Fail"</formula>
    </cfRule>
    <cfRule type="containsText" dxfId="458" priority="98" operator="containsText" text="highlight">
      <formula>G63="Pass"</formula>
    </cfRule>
  </conditionalFormatting>
  <conditionalFormatting sqref="G64">
    <cfRule type="containsText" dxfId="457" priority="99" operator="containsText" text="highlight">
      <formula>G64="Fail"</formula>
    </cfRule>
    <cfRule type="containsText" dxfId="456" priority="100" operator="containsText" text="highlight">
      <formula>G64="Pass"</formula>
    </cfRule>
  </conditionalFormatting>
  <conditionalFormatting sqref="G65">
    <cfRule type="containsText" dxfId="455" priority="101" operator="containsText" text="highlight">
      <formula>G65="Fail"</formula>
    </cfRule>
    <cfRule type="containsText" dxfId="454" priority="102" operator="containsText" text="highlight">
      <formula>G65="Pass"</formula>
    </cfRule>
  </conditionalFormatting>
  <conditionalFormatting sqref="G69">
    <cfRule type="containsText" dxfId="453" priority="103" operator="containsText" text="highlight">
      <formula>G69="Fail"</formula>
    </cfRule>
    <cfRule type="containsText" dxfId="452" priority="104" operator="containsText" text="highlight">
      <formula>G69="Pass"</formula>
    </cfRule>
  </conditionalFormatting>
  <conditionalFormatting sqref="G70">
    <cfRule type="containsText" dxfId="451" priority="105" operator="containsText" text="highlight">
      <formula>G70="Fail"</formula>
    </cfRule>
    <cfRule type="containsText" dxfId="450" priority="106" operator="containsText" text="highlight">
      <formula>G70="Pass"</formula>
    </cfRule>
  </conditionalFormatting>
  <conditionalFormatting sqref="G71">
    <cfRule type="containsText" dxfId="449" priority="107" operator="containsText" text="highlight">
      <formula>G71="Fail"</formula>
    </cfRule>
    <cfRule type="containsText" dxfId="448" priority="108" operator="containsText" text="highlight">
      <formula>G71="Pass"</formula>
    </cfRule>
  </conditionalFormatting>
  <conditionalFormatting sqref="G72">
    <cfRule type="containsText" dxfId="447" priority="109" operator="containsText" text="highlight">
      <formula>G72="Fail"</formula>
    </cfRule>
    <cfRule type="containsText" dxfId="446" priority="110" operator="containsText" text="highlight">
      <formula>G72="Pass"</formula>
    </cfRule>
  </conditionalFormatting>
  <conditionalFormatting sqref="G73">
    <cfRule type="containsText" dxfId="445" priority="111" operator="containsText" text="highlight">
      <formula>G73="Fail"</formula>
    </cfRule>
    <cfRule type="containsText" dxfId="444" priority="112" operator="containsText" text="highlight">
      <formula>G73="Pass"</formula>
    </cfRule>
  </conditionalFormatting>
  <conditionalFormatting sqref="G74">
    <cfRule type="containsText" dxfId="443" priority="113" operator="containsText" text="highlight">
      <formula>G74="Fail"</formula>
    </cfRule>
    <cfRule type="containsText" dxfId="442" priority="114" operator="containsText" text="highlight">
      <formula>G74="Pass"</formula>
    </cfRule>
  </conditionalFormatting>
  <conditionalFormatting sqref="G75">
    <cfRule type="containsText" dxfId="441" priority="115" operator="containsText" text="highlight">
      <formula>G75="Fail"</formula>
    </cfRule>
    <cfRule type="containsText" dxfId="440" priority="116" operator="containsText" text="highlight">
      <formula>G75="Pass"</formula>
    </cfRule>
  </conditionalFormatting>
  <conditionalFormatting sqref="G76">
    <cfRule type="containsText" dxfId="439" priority="117" operator="containsText" text="highlight">
      <formula>G76="Fail"</formula>
    </cfRule>
    <cfRule type="containsText" dxfId="438" priority="118" operator="containsText" text="highlight">
      <formula>G76="Pass"</formula>
    </cfRule>
  </conditionalFormatting>
  <conditionalFormatting sqref="G77">
    <cfRule type="containsText" dxfId="437" priority="119" operator="containsText" text="highlight">
      <formula>G77="Fail"</formula>
    </cfRule>
    <cfRule type="containsText" dxfId="436" priority="120" operator="containsText" text="highlight">
      <formula>G77="Pass"</formula>
    </cfRule>
  </conditionalFormatting>
  <conditionalFormatting sqref="G78">
    <cfRule type="containsText" dxfId="435" priority="121" operator="containsText" text="highlight">
      <formula>G78="Fail"</formula>
    </cfRule>
    <cfRule type="containsText" dxfId="434" priority="122" operator="containsText" text="highlight">
      <formula>G78="Pass"</formula>
    </cfRule>
  </conditionalFormatting>
  <conditionalFormatting sqref="G79">
    <cfRule type="containsText" dxfId="433" priority="123" operator="containsText" text="highlight">
      <formula>G79="Fail"</formula>
    </cfRule>
    <cfRule type="containsText" dxfId="432" priority="124" operator="containsText" text="highlight">
      <formula>G79="Pass"</formula>
    </cfRule>
  </conditionalFormatting>
  <conditionalFormatting sqref="G80">
    <cfRule type="containsText" dxfId="431" priority="125" operator="containsText" text="highlight">
      <formula>G80="Fail"</formula>
    </cfRule>
    <cfRule type="containsText" dxfId="430" priority="126" operator="containsText" text="highlight">
      <formula>G80="Pass"</formula>
    </cfRule>
  </conditionalFormatting>
  <conditionalFormatting sqref="G81">
    <cfRule type="containsText" dxfId="429" priority="127" operator="containsText" text="highlight">
      <formula>G81="Fail"</formula>
    </cfRule>
    <cfRule type="containsText" dxfId="428" priority="128" operator="containsText" text="highlight">
      <formula>G81="Pass"</formula>
    </cfRule>
  </conditionalFormatting>
  <conditionalFormatting sqref="G82">
    <cfRule type="containsText" dxfId="427" priority="129" operator="containsText" text="highlight">
      <formula>G82="Fail"</formula>
    </cfRule>
    <cfRule type="containsText" dxfId="426" priority="130" operator="containsText" text="highlight">
      <formula>G82="Pass"</formula>
    </cfRule>
  </conditionalFormatting>
  <conditionalFormatting sqref="G83">
    <cfRule type="containsText" dxfId="425" priority="131" operator="containsText" text="highlight">
      <formula>G83="Fail"</formula>
    </cfRule>
    <cfRule type="containsText" dxfId="424" priority="132" operator="containsText" text="highlight">
      <formula>G83="Pass"</formula>
    </cfRule>
  </conditionalFormatting>
  <conditionalFormatting sqref="G87">
    <cfRule type="containsText" dxfId="423" priority="133" operator="containsText" text="highlight">
      <formula>G87="Fail"</formula>
    </cfRule>
    <cfRule type="containsText" dxfId="422" priority="134" operator="containsText" text="highlight">
      <formula>G87="Pass"</formula>
    </cfRule>
  </conditionalFormatting>
  <conditionalFormatting sqref="G88">
    <cfRule type="containsText" dxfId="421" priority="135" operator="containsText" text="highlight">
      <formula>G88="Fail"</formula>
    </cfRule>
    <cfRule type="containsText" dxfId="420" priority="136" operator="containsText" text="highlight">
      <formula>G88="Pass"</formula>
    </cfRule>
  </conditionalFormatting>
  <conditionalFormatting sqref="G89">
    <cfRule type="containsText" dxfId="419" priority="137" operator="containsText" text="highlight">
      <formula>G89="Fail"</formula>
    </cfRule>
    <cfRule type="containsText" dxfId="418" priority="138" operator="containsText" text="highlight">
      <formula>G89="Pass"</formula>
    </cfRule>
  </conditionalFormatting>
  <conditionalFormatting sqref="G90">
    <cfRule type="containsText" dxfId="417" priority="139" operator="containsText" text="highlight">
      <formula>G90="Fail"</formula>
    </cfRule>
    <cfRule type="containsText" dxfId="416" priority="140" operator="containsText" text="highlight">
      <formula>G90="Pass"</formula>
    </cfRule>
  </conditionalFormatting>
  <conditionalFormatting sqref="G91">
    <cfRule type="containsText" dxfId="415" priority="141" operator="containsText" text="highlight">
      <formula>G91="Fail"</formula>
    </cfRule>
    <cfRule type="containsText" dxfId="414" priority="142" operator="containsText" text="highlight">
      <formula>G91="Pass"</formula>
    </cfRule>
  </conditionalFormatting>
  <conditionalFormatting sqref="G92">
    <cfRule type="containsText" dxfId="413" priority="143" operator="containsText" text="highlight">
      <formula>G92="Fail"</formula>
    </cfRule>
    <cfRule type="containsText" dxfId="412" priority="144" operator="containsText" text="highlight">
      <formula>G92="Pass"</formula>
    </cfRule>
  </conditionalFormatting>
  <conditionalFormatting sqref="G93">
    <cfRule type="containsText" dxfId="411" priority="145" operator="containsText" text="highlight">
      <formula>G93="Fail"</formula>
    </cfRule>
    <cfRule type="containsText" dxfId="410" priority="146" operator="containsText" text="highlight">
      <formula>G93="Pass"</formula>
    </cfRule>
  </conditionalFormatting>
  <conditionalFormatting sqref="G94">
    <cfRule type="containsText" dxfId="409" priority="147" operator="containsText" text="highlight">
      <formula>G94="Fail"</formula>
    </cfRule>
    <cfRule type="containsText" dxfId="408" priority="148" operator="containsText" text="highlight">
      <formula>G94="Pass"</formula>
    </cfRule>
  </conditionalFormatting>
  <conditionalFormatting sqref="G95">
    <cfRule type="containsText" dxfId="407" priority="149" operator="containsText" text="highlight">
      <formula>G95="Fail"</formula>
    </cfRule>
    <cfRule type="containsText" dxfId="406" priority="150" operator="containsText" text="highlight">
      <formula>G95="Pass"</formula>
    </cfRule>
  </conditionalFormatting>
  <conditionalFormatting sqref="G96">
    <cfRule type="containsText" dxfId="405" priority="151" operator="containsText" text="highlight">
      <formula>G96="Fail"</formula>
    </cfRule>
    <cfRule type="containsText" dxfId="404" priority="152" operator="containsText" text="highlight">
      <formula>G96="Pass"</formula>
    </cfRule>
  </conditionalFormatting>
  <conditionalFormatting sqref="G97">
    <cfRule type="containsText" dxfId="403" priority="153" operator="containsText" text="highlight">
      <formula>G97="Fail"</formula>
    </cfRule>
    <cfRule type="containsText" dxfId="402" priority="154" operator="containsText" text="highlight">
      <formula>G97="Pass"</formula>
    </cfRule>
  </conditionalFormatting>
  <conditionalFormatting sqref="G98">
    <cfRule type="containsText" dxfId="401" priority="155" operator="containsText" text="highlight">
      <formula>G98="Fail"</formula>
    </cfRule>
    <cfRule type="containsText" dxfId="400" priority="156" operator="containsText" text="highlight">
      <formula>G98="Pass"</formula>
    </cfRule>
  </conditionalFormatting>
  <conditionalFormatting sqref="G99">
    <cfRule type="containsText" dxfId="399" priority="157" operator="containsText" text="highlight">
      <formula>G99="Fail"</formula>
    </cfRule>
    <cfRule type="containsText" dxfId="398" priority="158" operator="containsText" text="highlight">
      <formula>G99="Pass"</formula>
    </cfRule>
  </conditionalFormatting>
  <conditionalFormatting sqref="G100">
    <cfRule type="containsText" dxfId="397" priority="159" operator="containsText" text="highlight">
      <formula>G100="Fail"</formula>
    </cfRule>
    <cfRule type="containsText" dxfId="396" priority="160" operator="containsText" text="highlight">
      <formula>G100="Pass"</formula>
    </cfRule>
  </conditionalFormatting>
  <conditionalFormatting sqref="G101">
    <cfRule type="containsText" dxfId="395" priority="161" operator="containsText" text="highlight">
      <formula>G101="Fail"</formula>
    </cfRule>
    <cfRule type="containsText" dxfId="394" priority="162" operator="containsText" text="highlight">
      <formula>G101="Pass"</formula>
    </cfRule>
  </conditionalFormatting>
  <conditionalFormatting sqref="G102">
    <cfRule type="containsText" dxfId="393" priority="163" operator="containsText" text="highlight">
      <formula>G102="Fail"</formula>
    </cfRule>
    <cfRule type="containsText" dxfId="392" priority="164" operator="containsText" text="highlight">
      <formula>G102="Pass"</formula>
    </cfRule>
  </conditionalFormatting>
  <conditionalFormatting sqref="G103">
    <cfRule type="containsText" dxfId="391" priority="165" operator="containsText" text="highlight">
      <formula>G103="Fail"</formula>
    </cfRule>
    <cfRule type="containsText" dxfId="390" priority="166" operator="containsText" text="highlight">
      <formula>G103="Pass"</formula>
    </cfRule>
  </conditionalFormatting>
  <conditionalFormatting sqref="G104">
    <cfRule type="containsText" dxfId="389" priority="167" operator="containsText" text="highlight">
      <formula>G104="Fail"</formula>
    </cfRule>
    <cfRule type="containsText" dxfId="388" priority="168" operator="containsText" text="highlight">
      <formula>G104="Pass"</formula>
    </cfRule>
  </conditionalFormatting>
  <conditionalFormatting sqref="G105">
    <cfRule type="containsText" dxfId="387" priority="169" operator="containsText" text="highlight">
      <formula>G105="Fail"</formula>
    </cfRule>
    <cfRule type="containsText" dxfId="386" priority="170" operator="containsText" text="highlight">
      <formula>G105="Pass"</formula>
    </cfRule>
  </conditionalFormatting>
  <conditionalFormatting sqref="G106">
    <cfRule type="containsText" dxfId="385" priority="171" operator="containsText" text="highlight">
      <formula>G106="Fail"</formula>
    </cfRule>
    <cfRule type="containsText" dxfId="384" priority="172" operator="containsText" text="highlight">
      <formula>G106="Pass"</formula>
    </cfRule>
  </conditionalFormatting>
  <conditionalFormatting sqref="G107">
    <cfRule type="containsText" dxfId="383" priority="173" operator="containsText" text="highlight">
      <formula>G107="Fail"</formula>
    </cfRule>
    <cfRule type="containsText" dxfId="382" priority="174" operator="containsText" text="highlight">
      <formula>G107="Pass"</formula>
    </cfRule>
  </conditionalFormatting>
  <conditionalFormatting sqref="G108">
    <cfRule type="containsText" dxfId="381" priority="175" operator="containsText" text="highlight">
      <formula>G108="Fail"</formula>
    </cfRule>
    <cfRule type="containsText" dxfId="380" priority="176" operator="containsText" text="highlight">
      <formula>G108="Pass"</formula>
    </cfRule>
  </conditionalFormatting>
  <conditionalFormatting sqref="G109">
    <cfRule type="containsText" dxfId="379" priority="177" operator="containsText" text="highlight">
      <formula>G109="Fail"</formula>
    </cfRule>
    <cfRule type="containsText" dxfId="378" priority="178" operator="containsText" text="highlight">
      <formula>G109="Pass"</formula>
    </cfRule>
  </conditionalFormatting>
  <conditionalFormatting sqref="G110">
    <cfRule type="containsText" dxfId="377" priority="179" operator="containsText" text="highlight">
      <formula>G110="Fail"</formula>
    </cfRule>
    <cfRule type="containsText" dxfId="376" priority="180" operator="containsText" text="highlight">
      <formula>G110="Pass"</formula>
    </cfRule>
  </conditionalFormatting>
  <conditionalFormatting sqref="G111">
    <cfRule type="containsText" dxfId="375" priority="181" operator="containsText" text="highlight">
      <formula>G111="Fail"</formula>
    </cfRule>
    <cfRule type="containsText" dxfId="374" priority="182" operator="containsText" text="highlight">
      <formula>G111="Pass"</formula>
    </cfRule>
  </conditionalFormatting>
  <conditionalFormatting sqref="G112">
    <cfRule type="containsText" dxfId="373" priority="183" operator="containsText" text="highlight">
      <formula>G112="Fail"</formula>
    </cfRule>
    <cfRule type="containsText" dxfId="372" priority="184" operator="containsText" text="highlight">
      <formula>G112="Pass"</formula>
    </cfRule>
  </conditionalFormatting>
  <conditionalFormatting sqref="G113">
    <cfRule type="containsText" dxfId="371" priority="185" operator="containsText" text="highlight">
      <formula>G113="Fail"</formula>
    </cfRule>
    <cfRule type="containsText" dxfId="370" priority="186" operator="containsText" text="highlight">
      <formula>G113="Pass"</formula>
    </cfRule>
  </conditionalFormatting>
  <conditionalFormatting sqref="G114">
    <cfRule type="containsText" dxfId="369" priority="187" operator="containsText" text="highlight">
      <formula>G114="Fail"</formula>
    </cfRule>
    <cfRule type="containsText" dxfId="368" priority="188" operator="containsText" text="highlight">
      <formula>G114="Pass"</formula>
    </cfRule>
  </conditionalFormatting>
  <conditionalFormatting sqref="G115">
    <cfRule type="containsText" dxfId="367" priority="189" operator="containsText" text="highlight">
      <formula>G115="Fail"</formula>
    </cfRule>
    <cfRule type="containsText" dxfId="366" priority="190" operator="containsText" text="highlight">
      <formula>G115="Pass"</formula>
    </cfRule>
  </conditionalFormatting>
  <conditionalFormatting sqref="G116">
    <cfRule type="containsText" dxfId="365" priority="191" operator="containsText" text="highlight">
      <formula>G116="Fail"</formula>
    </cfRule>
    <cfRule type="containsText" dxfId="364" priority="192" operator="containsText" text="highlight">
      <formula>G116="Pass"</formula>
    </cfRule>
  </conditionalFormatting>
  <conditionalFormatting sqref="G120">
    <cfRule type="containsText" dxfId="363" priority="193" operator="containsText" text="highlight">
      <formula>G120="Fail"</formula>
    </cfRule>
    <cfRule type="containsText" dxfId="362" priority="194" operator="containsText" text="highlight">
      <formula>G120="Pass"</formula>
    </cfRule>
  </conditionalFormatting>
  <conditionalFormatting sqref="G121">
    <cfRule type="containsText" dxfId="361" priority="195" operator="containsText" text="highlight">
      <formula>G121="Fail"</formula>
    </cfRule>
    <cfRule type="containsText" dxfId="360" priority="196" operator="containsText" text="highlight">
      <formula>G121="Pass"</formula>
    </cfRule>
  </conditionalFormatting>
  <conditionalFormatting sqref="G122">
    <cfRule type="containsText" dxfId="359" priority="197" operator="containsText" text="highlight">
      <formula>G122="Fail"</formula>
    </cfRule>
    <cfRule type="containsText" dxfId="358" priority="198" operator="containsText" text="highlight">
      <formula>G122="Pass"</formula>
    </cfRule>
  </conditionalFormatting>
  <conditionalFormatting sqref="G123">
    <cfRule type="containsText" dxfId="357" priority="199" operator="containsText" text="highlight">
      <formula>G123="Fail"</formula>
    </cfRule>
    <cfRule type="containsText" dxfId="356" priority="200" operator="containsText" text="highlight">
      <formula>G123="Pass"</formula>
    </cfRule>
  </conditionalFormatting>
  <conditionalFormatting sqref="G124">
    <cfRule type="containsText" dxfId="355" priority="201" operator="containsText" text="highlight">
      <formula>G124="Fail"</formula>
    </cfRule>
    <cfRule type="containsText" dxfId="354" priority="202" operator="containsText" text="highlight">
      <formula>G124="Pass"</formula>
    </cfRule>
  </conditionalFormatting>
  <conditionalFormatting sqref="G125">
    <cfRule type="containsText" dxfId="353" priority="203" operator="containsText" text="highlight">
      <formula>G125="Fail"</formula>
    </cfRule>
    <cfRule type="containsText" dxfId="352" priority="204" operator="containsText" text="highlight">
      <formula>G125="Pass"</formula>
    </cfRule>
  </conditionalFormatting>
  <conditionalFormatting sqref="G126">
    <cfRule type="containsText" dxfId="351" priority="205" operator="containsText" text="highlight">
      <formula>G126="Fail"</formula>
    </cfRule>
    <cfRule type="containsText" dxfId="350" priority="206" operator="containsText" text="highlight">
      <formula>G126="Pass"</formula>
    </cfRule>
  </conditionalFormatting>
  <conditionalFormatting sqref="G127">
    <cfRule type="containsText" dxfId="349" priority="207" operator="containsText" text="highlight">
      <formula>G127="Fail"</formula>
    </cfRule>
    <cfRule type="containsText" dxfId="348" priority="208" operator="containsText" text="highlight">
      <formula>G127="Pass"</formula>
    </cfRule>
  </conditionalFormatting>
  <conditionalFormatting sqref="G128">
    <cfRule type="containsText" dxfId="347" priority="209" operator="containsText" text="highlight">
      <formula>G128="Fail"</formula>
    </cfRule>
    <cfRule type="containsText" dxfId="346" priority="210" operator="containsText" text="highlight">
      <formula>G128="Pass"</formula>
    </cfRule>
  </conditionalFormatting>
  <conditionalFormatting sqref="G129">
    <cfRule type="containsText" dxfId="345" priority="211" operator="containsText" text="highlight">
      <formula>G129="Fail"</formula>
    </cfRule>
    <cfRule type="containsText" dxfId="344" priority="212" operator="containsText" text="highlight">
      <formula>G129="Pass"</formula>
    </cfRule>
  </conditionalFormatting>
  <conditionalFormatting sqref="G130">
    <cfRule type="containsText" dxfId="343" priority="213" operator="containsText" text="highlight">
      <formula>G130="Fail"</formula>
    </cfRule>
    <cfRule type="containsText" dxfId="342" priority="214" operator="containsText" text="highlight">
      <formula>G130="Pass"</formula>
    </cfRule>
  </conditionalFormatting>
  <conditionalFormatting sqref="G131">
    <cfRule type="containsText" dxfId="341" priority="215" operator="containsText" text="highlight">
      <formula>G131="Fail"</formula>
    </cfRule>
    <cfRule type="containsText" dxfId="340" priority="216" operator="containsText" text="highlight">
      <formula>G131="Pass"</formula>
    </cfRule>
  </conditionalFormatting>
  <conditionalFormatting sqref="G132">
    <cfRule type="containsText" dxfId="339" priority="217" operator="containsText" text="highlight">
      <formula>G132="Fail"</formula>
    </cfRule>
    <cfRule type="containsText" dxfId="338" priority="218" operator="containsText" text="highlight">
      <formula>G132="Pass"</formula>
    </cfRule>
  </conditionalFormatting>
  <conditionalFormatting sqref="G133">
    <cfRule type="containsText" dxfId="337" priority="219" operator="containsText" text="highlight">
      <formula>G133="Fail"</formula>
    </cfRule>
    <cfRule type="containsText" dxfId="336" priority="220" operator="containsText" text="highlight">
      <formula>G133="Pass"</formula>
    </cfRule>
  </conditionalFormatting>
  <conditionalFormatting sqref="G134">
    <cfRule type="containsText" dxfId="335" priority="221" operator="containsText" text="highlight">
      <formula>G134="Fail"</formula>
    </cfRule>
    <cfRule type="containsText" dxfId="334" priority="222" operator="containsText" text="highlight">
      <formula>G134="Pass"</formula>
    </cfRule>
  </conditionalFormatting>
  <conditionalFormatting sqref="G135">
    <cfRule type="containsText" dxfId="333" priority="223" operator="containsText" text="highlight">
      <formula>G135="Fail"</formula>
    </cfRule>
    <cfRule type="containsText" dxfId="332" priority="224" operator="containsText" text="highlight">
      <formula>G135="Pass"</formula>
    </cfRule>
  </conditionalFormatting>
  <conditionalFormatting sqref="G136">
    <cfRule type="containsText" dxfId="331" priority="225" operator="containsText" text="highlight">
      <formula>G136="Fail"</formula>
    </cfRule>
    <cfRule type="containsText" dxfId="330" priority="226" operator="containsText" text="highlight">
      <formula>G136="Pass"</formula>
    </cfRule>
  </conditionalFormatting>
  <conditionalFormatting sqref="G137">
    <cfRule type="containsText" dxfId="329" priority="227" operator="containsText" text="highlight">
      <formula>G137="Fail"</formula>
    </cfRule>
    <cfRule type="containsText" dxfId="328" priority="228" operator="containsText" text="highlight">
      <formula>G137="Pass"</formula>
    </cfRule>
  </conditionalFormatting>
  <conditionalFormatting sqref="G138">
    <cfRule type="containsText" dxfId="327" priority="229" operator="containsText" text="highlight">
      <formula>G138="Fail"</formula>
    </cfRule>
    <cfRule type="containsText" dxfId="326" priority="230" operator="containsText" text="highlight">
      <formula>G138="Pass"</formula>
    </cfRule>
  </conditionalFormatting>
  <conditionalFormatting sqref="G139">
    <cfRule type="containsText" dxfId="325" priority="231" operator="containsText" text="highlight">
      <formula>G139="Fail"</formula>
    </cfRule>
    <cfRule type="containsText" dxfId="324" priority="232" operator="containsText" text="highlight">
      <formula>G139="Pass"</formula>
    </cfRule>
  </conditionalFormatting>
  <conditionalFormatting sqref="G140">
    <cfRule type="containsText" dxfId="323" priority="233" operator="containsText" text="highlight">
      <formula>G140="Fail"</formula>
    </cfRule>
    <cfRule type="containsText" dxfId="322" priority="234" operator="containsText" text="highlight">
      <formula>G140="Pass"</formula>
    </cfRule>
  </conditionalFormatting>
  <conditionalFormatting sqref="G141">
    <cfRule type="containsText" dxfId="321" priority="235" operator="containsText" text="highlight">
      <formula>G141="Fail"</formula>
    </cfRule>
    <cfRule type="containsText" dxfId="320" priority="236" operator="containsText" text="highlight">
      <formula>G141="Pass"</formula>
    </cfRule>
  </conditionalFormatting>
  <conditionalFormatting sqref="G142">
    <cfRule type="containsText" dxfId="319" priority="237" operator="containsText" text="highlight">
      <formula>G142="Fail"</formula>
    </cfRule>
    <cfRule type="containsText" dxfId="318" priority="238" operator="containsText" text="highlight">
      <formula>G142="Pass"</formula>
    </cfRule>
  </conditionalFormatting>
  <conditionalFormatting sqref="G143">
    <cfRule type="containsText" dxfId="317" priority="239" operator="containsText" text="highlight">
      <formula>G143="Fail"</formula>
    </cfRule>
    <cfRule type="containsText" dxfId="316" priority="240" operator="containsText" text="highlight">
      <formula>G143="Pass"</formula>
    </cfRule>
  </conditionalFormatting>
  <conditionalFormatting sqref="G144">
    <cfRule type="containsText" dxfId="315" priority="241" operator="containsText" text="highlight">
      <formula>G144="Fail"</formula>
    </cfRule>
    <cfRule type="containsText" dxfId="314" priority="242" operator="containsText" text="highlight">
      <formula>G144="Pass"</formula>
    </cfRule>
  </conditionalFormatting>
  <conditionalFormatting sqref="G145">
    <cfRule type="containsText" dxfId="313" priority="243" operator="containsText" text="highlight">
      <formula>G145="Fail"</formula>
    </cfRule>
    <cfRule type="containsText" dxfId="312" priority="244" operator="containsText" text="highlight">
      <formula>G145="Pass"</formula>
    </cfRule>
  </conditionalFormatting>
  <conditionalFormatting sqref="G146">
    <cfRule type="containsText" dxfId="311" priority="245" operator="containsText" text="highlight">
      <formula>G146="Fail"</formula>
    </cfRule>
    <cfRule type="containsText" dxfId="310" priority="246" operator="containsText" text="highlight">
      <formula>G146="Pass"</formula>
    </cfRule>
  </conditionalFormatting>
  <conditionalFormatting sqref="G147">
    <cfRule type="containsText" dxfId="309" priority="247" operator="containsText" text="highlight">
      <formula>G147="Fail"</formula>
    </cfRule>
    <cfRule type="containsText" dxfId="308" priority="248" operator="containsText" text="highlight">
      <formula>G147="Pass"</formula>
    </cfRule>
  </conditionalFormatting>
  <conditionalFormatting sqref="G148">
    <cfRule type="containsText" dxfId="307" priority="249" operator="containsText" text="highlight">
      <formula>G148="Fail"</formula>
    </cfRule>
    <cfRule type="containsText" dxfId="306" priority="250" operator="containsText" text="highlight">
      <formula>G148="Pass"</formula>
    </cfRule>
  </conditionalFormatting>
  <conditionalFormatting sqref="G149">
    <cfRule type="containsText" dxfId="305" priority="251" operator="containsText" text="highlight">
      <formula>G149="Fail"</formula>
    </cfRule>
    <cfRule type="containsText" dxfId="304" priority="252" operator="containsText" text="highlight">
      <formula>G149="Pass"</formula>
    </cfRule>
  </conditionalFormatting>
  <conditionalFormatting sqref="G153">
    <cfRule type="containsText" dxfId="303" priority="253" operator="containsText" text="highlight">
      <formula>G153="Fail"</formula>
    </cfRule>
    <cfRule type="containsText" dxfId="302" priority="254" operator="containsText" text="highlight">
      <formula>G153="Pass"</formula>
    </cfRule>
  </conditionalFormatting>
  <conditionalFormatting sqref="G154">
    <cfRule type="containsText" dxfId="301" priority="255" operator="containsText" text="highlight">
      <formula>G154="Fail"</formula>
    </cfRule>
    <cfRule type="containsText" dxfId="300" priority="256" operator="containsText" text="highlight">
      <formula>G154="Pass"</formula>
    </cfRule>
  </conditionalFormatting>
  <conditionalFormatting sqref="G155">
    <cfRule type="containsText" dxfId="299" priority="257" operator="containsText" text="highlight">
      <formula>G155="Fail"</formula>
    </cfRule>
    <cfRule type="containsText" dxfId="298" priority="258" operator="containsText" text="highlight">
      <formula>G155="Pass"</formula>
    </cfRule>
  </conditionalFormatting>
  <conditionalFormatting sqref="G156">
    <cfRule type="containsText" dxfId="297" priority="259" operator="containsText" text="highlight">
      <formula>G156="Fail"</formula>
    </cfRule>
    <cfRule type="containsText" dxfId="296" priority="260" operator="containsText" text="highlight">
      <formula>G156="Pass"</formula>
    </cfRule>
  </conditionalFormatting>
  <conditionalFormatting sqref="G157">
    <cfRule type="containsText" dxfId="295" priority="261" operator="containsText" text="highlight">
      <formula>G157="Fail"</formula>
    </cfRule>
    <cfRule type="containsText" dxfId="294" priority="262" operator="containsText" text="highlight">
      <formula>G157="Pass"</formula>
    </cfRule>
  </conditionalFormatting>
  <conditionalFormatting sqref="G158">
    <cfRule type="containsText" dxfId="293" priority="263" operator="containsText" text="highlight">
      <formula>G158="Fail"</formula>
    </cfRule>
    <cfRule type="containsText" dxfId="292" priority="264" operator="containsText" text="highlight">
      <formula>G158="Pass"</formula>
    </cfRule>
  </conditionalFormatting>
  <conditionalFormatting sqref="G159">
    <cfRule type="containsText" dxfId="291" priority="265" operator="containsText" text="highlight">
      <formula>G159="Fail"</formula>
    </cfRule>
    <cfRule type="containsText" dxfId="290" priority="266" operator="containsText" text="highlight">
      <formula>G159="Pass"</formula>
    </cfRule>
  </conditionalFormatting>
  <conditionalFormatting sqref="G160">
    <cfRule type="containsText" dxfId="289" priority="267" operator="containsText" text="highlight">
      <formula>G160="Fail"</formula>
    </cfRule>
    <cfRule type="containsText" dxfId="288" priority="268" operator="containsText" text="highlight">
      <formula>G160="Pass"</formula>
    </cfRule>
  </conditionalFormatting>
  <conditionalFormatting sqref="G161">
    <cfRule type="containsText" dxfId="287" priority="269" operator="containsText" text="highlight">
      <formula>G161="Fail"</formula>
    </cfRule>
    <cfRule type="containsText" dxfId="286" priority="270" operator="containsText" text="highlight">
      <formula>G161="Pass"</formula>
    </cfRule>
  </conditionalFormatting>
  <conditionalFormatting sqref="G162">
    <cfRule type="containsText" dxfId="285" priority="271" operator="containsText" text="highlight">
      <formula>G162="Fail"</formula>
    </cfRule>
    <cfRule type="containsText" dxfId="284" priority="272" operator="containsText" text="highlight">
      <formula>G162="Pass"</formula>
    </cfRule>
  </conditionalFormatting>
  <conditionalFormatting sqref="G163">
    <cfRule type="containsText" dxfId="283" priority="273" operator="containsText" text="highlight">
      <formula>G163="Fail"</formula>
    </cfRule>
    <cfRule type="containsText" dxfId="282" priority="274" operator="containsText" text="highlight">
      <formula>G163="Pass"</formula>
    </cfRule>
  </conditionalFormatting>
  <conditionalFormatting sqref="G164">
    <cfRule type="containsText" dxfId="281" priority="275" operator="containsText" text="highlight">
      <formula>G164="Fail"</formula>
    </cfRule>
    <cfRule type="containsText" dxfId="280" priority="276" operator="containsText" text="highlight">
      <formula>G164="Pass"</formula>
    </cfRule>
  </conditionalFormatting>
  <conditionalFormatting sqref="G165">
    <cfRule type="containsText" dxfId="279" priority="277" operator="containsText" text="highlight">
      <formula>G165="Fail"</formula>
    </cfRule>
    <cfRule type="containsText" dxfId="278" priority="278" operator="containsText" text="highlight">
      <formula>G165="Pass"</formula>
    </cfRule>
  </conditionalFormatting>
  <conditionalFormatting sqref="G166">
    <cfRule type="containsText" dxfId="277" priority="279" operator="containsText" text="highlight">
      <formula>G166="Fail"</formula>
    </cfRule>
    <cfRule type="containsText" dxfId="276" priority="280" operator="containsText" text="highlight">
      <formula>G166="Pass"</formula>
    </cfRule>
  </conditionalFormatting>
  <conditionalFormatting sqref="G167">
    <cfRule type="containsText" dxfId="275" priority="281" operator="containsText" text="highlight">
      <formula>G167="Fail"</formula>
    </cfRule>
    <cfRule type="containsText" dxfId="274" priority="282" operator="containsText" text="highlight">
      <formula>G167="Pass"</formula>
    </cfRule>
  </conditionalFormatting>
  <conditionalFormatting sqref="G168">
    <cfRule type="containsText" dxfId="273" priority="283" operator="containsText" text="highlight">
      <formula>G168="Fail"</formula>
    </cfRule>
    <cfRule type="containsText" dxfId="272" priority="284" operator="containsText" text="highlight">
      <formula>G168="Pass"</formula>
    </cfRule>
  </conditionalFormatting>
  <conditionalFormatting sqref="G169">
    <cfRule type="containsText" dxfId="271" priority="285" operator="containsText" text="highlight">
      <formula>G169="Fail"</formula>
    </cfRule>
    <cfRule type="containsText" dxfId="270" priority="286" operator="containsText" text="highlight">
      <formula>G169="Pass"</formula>
    </cfRule>
  </conditionalFormatting>
  <conditionalFormatting sqref="G170">
    <cfRule type="containsText" dxfId="269" priority="287" operator="containsText" text="highlight">
      <formula>G170="Fail"</formula>
    </cfRule>
    <cfRule type="containsText" dxfId="268" priority="288" operator="containsText" text="highlight">
      <formula>G170="Pass"</formula>
    </cfRule>
  </conditionalFormatting>
  <conditionalFormatting sqref="G171">
    <cfRule type="containsText" dxfId="267" priority="289" operator="containsText" text="highlight">
      <formula>G171="Fail"</formula>
    </cfRule>
    <cfRule type="containsText" dxfId="266" priority="290" operator="containsText" text="highlight">
      <formula>G171="Pass"</formula>
    </cfRule>
  </conditionalFormatting>
  <conditionalFormatting sqref="G172">
    <cfRule type="containsText" dxfId="265" priority="291" operator="containsText" text="highlight">
      <formula>G172="Fail"</formula>
    </cfRule>
    <cfRule type="containsText" dxfId="264" priority="292" operator="containsText" text="highlight">
      <formula>G172="Pass"</formula>
    </cfRule>
  </conditionalFormatting>
  <conditionalFormatting sqref="G173">
    <cfRule type="containsText" dxfId="263" priority="293" operator="containsText" text="highlight">
      <formula>G173="Fail"</formula>
    </cfRule>
    <cfRule type="containsText" dxfId="262" priority="294" operator="containsText" text="highlight">
      <formula>G173="Pass"</formula>
    </cfRule>
  </conditionalFormatting>
  <conditionalFormatting sqref="G174">
    <cfRule type="containsText" dxfId="261" priority="295" operator="containsText" text="highlight">
      <formula>G174="Fail"</formula>
    </cfRule>
    <cfRule type="containsText" dxfId="260" priority="296" operator="containsText" text="highlight">
      <formula>G174="Pass"</formula>
    </cfRule>
  </conditionalFormatting>
  <conditionalFormatting sqref="G175">
    <cfRule type="containsText" dxfId="259" priority="297" operator="containsText" text="highlight">
      <formula>G175="Fail"</formula>
    </cfRule>
    <cfRule type="containsText" dxfId="258" priority="298" operator="containsText" text="highlight">
      <formula>G175="Pass"</formula>
    </cfRule>
  </conditionalFormatting>
  <conditionalFormatting sqref="G176">
    <cfRule type="containsText" dxfId="257" priority="299" operator="containsText" text="highlight">
      <formula>G176="Fail"</formula>
    </cfRule>
    <cfRule type="containsText" dxfId="256" priority="300" operator="containsText" text="highlight">
      <formula>G176="Pass"</formula>
    </cfRule>
  </conditionalFormatting>
  <conditionalFormatting sqref="G177">
    <cfRule type="containsText" dxfId="255" priority="301" operator="containsText" text="highlight">
      <formula>G177="Fail"</formula>
    </cfRule>
    <cfRule type="containsText" dxfId="254" priority="302" operator="containsText" text="highlight">
      <formula>G177="Pass"</formula>
    </cfRule>
  </conditionalFormatting>
  <conditionalFormatting sqref="G178">
    <cfRule type="containsText" dxfId="253" priority="303" operator="containsText" text="highlight">
      <formula>G178="Fail"</formula>
    </cfRule>
    <cfRule type="containsText" dxfId="252" priority="304" operator="containsText" text="highlight">
      <formula>G178="Pass"</formula>
    </cfRule>
  </conditionalFormatting>
  <conditionalFormatting sqref="G179">
    <cfRule type="containsText" dxfId="251" priority="305" operator="containsText" text="highlight">
      <formula>G179="Fail"</formula>
    </cfRule>
    <cfRule type="containsText" dxfId="250" priority="306" operator="containsText" text="highlight">
      <formula>G179="Pass"</formula>
    </cfRule>
  </conditionalFormatting>
  <conditionalFormatting sqref="G180">
    <cfRule type="containsText" dxfId="249" priority="307" operator="containsText" text="highlight">
      <formula>G180="Fail"</formula>
    </cfRule>
    <cfRule type="containsText" dxfId="248" priority="308" operator="containsText" text="highlight">
      <formula>G180="Pass"</formula>
    </cfRule>
  </conditionalFormatting>
  <conditionalFormatting sqref="G181">
    <cfRule type="containsText" dxfId="247" priority="309" operator="containsText" text="highlight">
      <formula>G181="Fail"</formula>
    </cfRule>
    <cfRule type="containsText" dxfId="246" priority="310" operator="containsText" text="highlight">
      <formula>G181="Pass"</formula>
    </cfRule>
  </conditionalFormatting>
  <conditionalFormatting sqref="G182">
    <cfRule type="containsText" dxfId="245" priority="311" operator="containsText" text="highlight">
      <formula>G182="Fail"</formula>
    </cfRule>
    <cfRule type="containsText" dxfId="244" priority="312" operator="containsText" text="highlight">
      <formula>G182="Pass"</formula>
    </cfRule>
  </conditionalFormatting>
  <conditionalFormatting sqref="G186">
    <cfRule type="containsText" dxfId="243" priority="313" operator="containsText" text="highlight">
      <formula>G186="Fail"</formula>
    </cfRule>
    <cfRule type="containsText" dxfId="242" priority="314" operator="containsText" text="highlight">
      <formula>G186="Pass"</formula>
    </cfRule>
  </conditionalFormatting>
  <conditionalFormatting sqref="G187">
    <cfRule type="containsText" dxfId="241" priority="315" operator="containsText" text="highlight">
      <formula>G187="Fail"</formula>
    </cfRule>
    <cfRule type="containsText" dxfId="240" priority="316" operator="containsText" text="highlight">
      <formula>G187="Pass"</formula>
    </cfRule>
  </conditionalFormatting>
  <conditionalFormatting sqref="G188">
    <cfRule type="containsText" dxfId="239" priority="317" operator="containsText" text="highlight">
      <formula>G188="Fail"</formula>
    </cfRule>
    <cfRule type="containsText" dxfId="238" priority="318" operator="containsText" text="highlight">
      <formula>G188="Pass"</formula>
    </cfRule>
  </conditionalFormatting>
  <conditionalFormatting sqref="G189">
    <cfRule type="containsText" dxfId="237" priority="319" operator="containsText" text="highlight">
      <formula>G189="Fail"</formula>
    </cfRule>
    <cfRule type="containsText" dxfId="236" priority="320" operator="containsText" text="highlight">
      <formula>G189="Pass"</formula>
    </cfRule>
  </conditionalFormatting>
  <conditionalFormatting sqref="G190">
    <cfRule type="containsText" dxfId="235" priority="321" operator="containsText" text="highlight">
      <formula>G190="Fail"</formula>
    </cfRule>
    <cfRule type="containsText" dxfId="234" priority="322" operator="containsText" text="highlight">
      <formula>G190="Pass"</formula>
    </cfRule>
  </conditionalFormatting>
  <conditionalFormatting sqref="G191">
    <cfRule type="containsText" dxfId="233" priority="323" operator="containsText" text="highlight">
      <formula>G191="Fail"</formula>
    </cfRule>
    <cfRule type="containsText" dxfId="232" priority="324" operator="containsText" text="highlight">
      <formula>G191="Pass"</formula>
    </cfRule>
  </conditionalFormatting>
  <conditionalFormatting sqref="G192">
    <cfRule type="containsText" dxfId="231" priority="325" operator="containsText" text="highlight">
      <formula>G192="Fail"</formula>
    </cfRule>
    <cfRule type="containsText" dxfId="230" priority="326" operator="containsText" text="highlight">
      <formula>G192="Pass"</formula>
    </cfRule>
  </conditionalFormatting>
  <conditionalFormatting sqref="G193">
    <cfRule type="containsText" dxfId="229" priority="327" operator="containsText" text="highlight">
      <formula>G193="Fail"</formula>
    </cfRule>
    <cfRule type="containsText" dxfId="228" priority="328" operator="containsText" text="highlight">
      <formula>G193="Pass"</formula>
    </cfRule>
  </conditionalFormatting>
  <conditionalFormatting sqref="G194">
    <cfRule type="containsText" dxfId="227" priority="329" operator="containsText" text="highlight">
      <formula>G194="Fail"</formula>
    </cfRule>
    <cfRule type="containsText" dxfId="226" priority="330" operator="containsText" text="highlight">
      <formula>G194="Pass"</formula>
    </cfRule>
  </conditionalFormatting>
  <conditionalFormatting sqref="G195">
    <cfRule type="containsText" dxfId="225" priority="331" operator="containsText" text="highlight">
      <formula>G195="Fail"</formula>
    </cfRule>
    <cfRule type="containsText" dxfId="224" priority="332" operator="containsText" text="highlight">
      <formula>G195="Pass"</formula>
    </cfRule>
  </conditionalFormatting>
  <conditionalFormatting sqref="G196">
    <cfRule type="containsText" dxfId="223" priority="333" operator="containsText" text="highlight">
      <formula>G196="Fail"</formula>
    </cfRule>
    <cfRule type="containsText" dxfId="222" priority="334" operator="containsText" text="highlight">
      <formula>G196="Pass"</formula>
    </cfRule>
  </conditionalFormatting>
  <conditionalFormatting sqref="G197">
    <cfRule type="containsText" dxfId="221" priority="335" operator="containsText" text="highlight">
      <formula>G197="Fail"</formula>
    </cfRule>
    <cfRule type="containsText" dxfId="220" priority="336" operator="containsText" text="highlight">
      <formula>G197="Pass"</formula>
    </cfRule>
  </conditionalFormatting>
  <conditionalFormatting sqref="G198">
    <cfRule type="containsText" dxfId="219" priority="337" operator="containsText" text="highlight">
      <formula>G198="Fail"</formula>
    </cfRule>
    <cfRule type="containsText" dxfId="218" priority="338" operator="containsText" text="highlight">
      <formula>G198="Pass"</formula>
    </cfRule>
  </conditionalFormatting>
  <conditionalFormatting sqref="G199">
    <cfRule type="containsText" dxfId="217" priority="339" operator="containsText" text="highlight">
      <formula>G199="Fail"</formula>
    </cfRule>
    <cfRule type="containsText" dxfId="216" priority="340" operator="containsText" text="highlight">
      <formula>G199="Pass"</formula>
    </cfRule>
  </conditionalFormatting>
  <conditionalFormatting sqref="G200">
    <cfRule type="containsText" dxfId="215" priority="341" operator="containsText" text="highlight">
      <formula>G200="Fail"</formula>
    </cfRule>
    <cfRule type="containsText" dxfId="214" priority="342" operator="containsText" text="highlight">
      <formula>G200="Pass"</formula>
    </cfRule>
  </conditionalFormatting>
  <conditionalFormatting sqref="G201">
    <cfRule type="containsText" dxfId="213" priority="343" operator="containsText" text="highlight">
      <formula>G201="Fail"</formula>
    </cfRule>
    <cfRule type="containsText" dxfId="212" priority="344" operator="containsText" text="highlight">
      <formula>G201="Pass"</formula>
    </cfRule>
  </conditionalFormatting>
  <conditionalFormatting sqref="G202">
    <cfRule type="containsText" dxfId="211" priority="345" operator="containsText" text="highlight">
      <formula>G202="Fail"</formula>
    </cfRule>
    <cfRule type="containsText" dxfId="210" priority="346" operator="containsText" text="highlight">
      <formula>G202="Pass"</formula>
    </cfRule>
  </conditionalFormatting>
  <conditionalFormatting sqref="G203">
    <cfRule type="containsText" dxfId="209" priority="347" operator="containsText" text="highlight">
      <formula>G203="Fail"</formula>
    </cfRule>
    <cfRule type="containsText" dxfId="208" priority="348" operator="containsText" text="highlight">
      <formula>G203="Pass"</formula>
    </cfRule>
  </conditionalFormatting>
  <conditionalFormatting sqref="G204">
    <cfRule type="containsText" dxfId="207" priority="349" operator="containsText" text="highlight">
      <formula>G204="Fail"</formula>
    </cfRule>
    <cfRule type="containsText" dxfId="206" priority="350" operator="containsText" text="highlight">
      <formula>G204="Pass"</formula>
    </cfRule>
  </conditionalFormatting>
  <conditionalFormatting sqref="G205">
    <cfRule type="containsText" dxfId="205" priority="351" operator="containsText" text="highlight">
      <formula>G205="Fail"</formula>
    </cfRule>
    <cfRule type="containsText" dxfId="204" priority="352" operator="containsText" text="highlight">
      <formula>G205="Pass"</formula>
    </cfRule>
  </conditionalFormatting>
  <conditionalFormatting sqref="G206">
    <cfRule type="containsText" dxfId="203" priority="353" operator="containsText" text="highlight">
      <formula>G206="Fail"</formula>
    </cfRule>
    <cfRule type="containsText" dxfId="202" priority="354" operator="containsText" text="highlight">
      <formula>G206="Pass"</formula>
    </cfRule>
  </conditionalFormatting>
  <conditionalFormatting sqref="G207">
    <cfRule type="containsText" dxfId="201" priority="355" operator="containsText" text="highlight">
      <formula>G207="Fail"</formula>
    </cfRule>
    <cfRule type="containsText" dxfId="200" priority="356" operator="containsText" text="highlight">
      <formula>G207="Pass"</formula>
    </cfRule>
  </conditionalFormatting>
  <conditionalFormatting sqref="G208">
    <cfRule type="containsText" dxfId="199" priority="357" operator="containsText" text="highlight">
      <formula>G208="Fail"</formula>
    </cfRule>
    <cfRule type="containsText" dxfId="198" priority="358" operator="containsText" text="highlight">
      <formula>G208="Pass"</formula>
    </cfRule>
  </conditionalFormatting>
  <conditionalFormatting sqref="G209">
    <cfRule type="containsText" dxfId="197" priority="359" operator="containsText" text="highlight">
      <formula>G209="Fail"</formula>
    </cfRule>
    <cfRule type="containsText" dxfId="196" priority="360" operator="containsText" text="highlight">
      <formula>G209="Pass"</formula>
    </cfRule>
  </conditionalFormatting>
  <conditionalFormatting sqref="G210">
    <cfRule type="containsText" dxfId="195" priority="361" operator="containsText" text="highlight">
      <formula>G210="Fail"</formula>
    </cfRule>
    <cfRule type="containsText" dxfId="194" priority="362" operator="containsText" text="highlight">
      <formula>G210="Pass"</formula>
    </cfRule>
  </conditionalFormatting>
  <conditionalFormatting sqref="G211">
    <cfRule type="containsText" dxfId="193" priority="363" operator="containsText" text="highlight">
      <formula>G211="Fail"</formula>
    </cfRule>
    <cfRule type="containsText" dxfId="192" priority="364" operator="containsText" text="highlight">
      <formula>G211="Pass"</formula>
    </cfRule>
  </conditionalFormatting>
  <conditionalFormatting sqref="G212">
    <cfRule type="containsText" dxfId="191" priority="365" operator="containsText" text="highlight">
      <formula>G212="Fail"</formula>
    </cfRule>
    <cfRule type="containsText" dxfId="190" priority="366" operator="containsText" text="highlight">
      <formula>G212="Pass"</formula>
    </cfRule>
  </conditionalFormatting>
  <conditionalFormatting sqref="G213">
    <cfRule type="containsText" dxfId="189" priority="367" operator="containsText" text="highlight">
      <formula>G213="Fail"</formula>
    </cfRule>
    <cfRule type="containsText" dxfId="188" priority="368" operator="containsText" text="highlight">
      <formula>G213="Pass"</formula>
    </cfRule>
  </conditionalFormatting>
  <conditionalFormatting sqref="G214">
    <cfRule type="containsText" dxfId="187" priority="369" operator="containsText" text="highlight">
      <formula>G214="Fail"</formula>
    </cfRule>
    <cfRule type="containsText" dxfId="186" priority="370" operator="containsText" text="highlight">
      <formula>G214="Pass"</formula>
    </cfRule>
  </conditionalFormatting>
  <conditionalFormatting sqref="G215">
    <cfRule type="containsText" dxfId="185" priority="371" operator="containsText" text="highlight">
      <formula>G215="Fail"</formula>
    </cfRule>
    <cfRule type="containsText" dxfId="184" priority="372" operator="containsText" text="highlight">
      <formula>G215="Pass"</formula>
    </cfRule>
  </conditionalFormatting>
  <conditionalFormatting sqref="G219">
    <cfRule type="containsText" dxfId="183" priority="373" operator="containsText" text="highlight">
      <formula>G219="Fail"</formula>
    </cfRule>
    <cfRule type="containsText" dxfId="182" priority="374" operator="containsText" text="highlight">
      <formula>G219="Pass"</formula>
    </cfRule>
  </conditionalFormatting>
  <conditionalFormatting sqref="G220">
    <cfRule type="containsText" dxfId="181" priority="375" operator="containsText" text="highlight">
      <formula>G220="Fail"</formula>
    </cfRule>
    <cfRule type="containsText" dxfId="180" priority="376" operator="containsText" text="highlight">
      <formula>G220="Pass"</formula>
    </cfRule>
  </conditionalFormatting>
  <conditionalFormatting sqref="G221">
    <cfRule type="containsText" dxfId="179" priority="377" operator="containsText" text="highlight">
      <formula>G221="Fail"</formula>
    </cfRule>
    <cfRule type="containsText" dxfId="178" priority="378" operator="containsText" text="highlight">
      <formula>G221="Pass"</formula>
    </cfRule>
  </conditionalFormatting>
  <conditionalFormatting sqref="G222">
    <cfRule type="containsText" dxfId="177" priority="379" operator="containsText" text="highlight">
      <formula>G222="Fail"</formula>
    </cfRule>
    <cfRule type="containsText" dxfId="176" priority="380" operator="containsText" text="highlight">
      <formula>G222="Pass"</formula>
    </cfRule>
  </conditionalFormatting>
  <conditionalFormatting sqref="G223">
    <cfRule type="containsText" dxfId="175" priority="381" operator="containsText" text="highlight">
      <formula>G223="Fail"</formula>
    </cfRule>
    <cfRule type="containsText" dxfId="174" priority="382" operator="containsText" text="highlight">
      <formula>G223="Pass"</formula>
    </cfRule>
  </conditionalFormatting>
  <conditionalFormatting sqref="G224">
    <cfRule type="containsText" dxfId="173" priority="383" operator="containsText" text="highlight">
      <formula>G224="Fail"</formula>
    </cfRule>
    <cfRule type="containsText" dxfId="172" priority="384" operator="containsText" text="highlight">
      <formula>G224="Pass"</formula>
    </cfRule>
  </conditionalFormatting>
  <conditionalFormatting sqref="G225">
    <cfRule type="containsText" dxfId="171" priority="385" operator="containsText" text="highlight">
      <formula>G225="Fail"</formula>
    </cfRule>
    <cfRule type="containsText" dxfId="170" priority="386" operator="containsText" text="highlight">
      <formula>G225="Pass"</formula>
    </cfRule>
  </conditionalFormatting>
  <conditionalFormatting sqref="G226">
    <cfRule type="containsText" dxfId="169" priority="387" operator="containsText" text="highlight">
      <formula>G226="Fail"</formula>
    </cfRule>
    <cfRule type="containsText" dxfId="168" priority="388" operator="containsText" text="highlight">
      <formula>G226="Pass"</formula>
    </cfRule>
  </conditionalFormatting>
  <conditionalFormatting sqref="G227">
    <cfRule type="containsText" dxfId="167" priority="389" operator="containsText" text="highlight">
      <formula>G227="Fail"</formula>
    </cfRule>
    <cfRule type="containsText" dxfId="166" priority="390" operator="containsText" text="highlight">
      <formula>G227="Pass"</formula>
    </cfRule>
  </conditionalFormatting>
  <conditionalFormatting sqref="G228">
    <cfRule type="containsText" dxfId="165" priority="391" operator="containsText" text="highlight">
      <formula>G228="Fail"</formula>
    </cfRule>
    <cfRule type="containsText" dxfId="164" priority="392" operator="containsText" text="highlight">
      <formula>G228="Pass"</formula>
    </cfRule>
  </conditionalFormatting>
  <conditionalFormatting sqref="G229">
    <cfRule type="containsText" dxfId="163" priority="393" operator="containsText" text="highlight">
      <formula>G229="Fail"</formula>
    </cfRule>
    <cfRule type="containsText" dxfId="162" priority="394" operator="containsText" text="highlight">
      <formula>G229="Pass"</formula>
    </cfRule>
  </conditionalFormatting>
  <conditionalFormatting sqref="G230">
    <cfRule type="containsText" dxfId="161" priority="395" operator="containsText" text="highlight">
      <formula>G230="Fail"</formula>
    </cfRule>
    <cfRule type="containsText" dxfId="160" priority="396" operator="containsText" text="highlight">
      <formula>G230="Pass"</formula>
    </cfRule>
  </conditionalFormatting>
  <conditionalFormatting sqref="G231">
    <cfRule type="containsText" dxfId="159" priority="397" operator="containsText" text="highlight">
      <formula>G231="Fail"</formula>
    </cfRule>
    <cfRule type="containsText" dxfId="158" priority="398" operator="containsText" text="highlight">
      <formula>G231="Pass"</formula>
    </cfRule>
  </conditionalFormatting>
  <conditionalFormatting sqref="G232">
    <cfRule type="containsText" dxfId="157" priority="399" operator="containsText" text="highlight">
      <formula>G232="Fail"</formula>
    </cfRule>
    <cfRule type="containsText" dxfId="156" priority="400" operator="containsText" text="highlight">
      <formula>G232="Pass"</formula>
    </cfRule>
  </conditionalFormatting>
  <conditionalFormatting sqref="G233">
    <cfRule type="containsText" dxfId="155" priority="401" operator="containsText" text="highlight">
      <formula>G233="Fail"</formula>
    </cfRule>
    <cfRule type="containsText" dxfId="154" priority="402" operator="containsText" text="highlight">
      <formula>G233="Pass"</formula>
    </cfRule>
  </conditionalFormatting>
  <conditionalFormatting sqref="G234">
    <cfRule type="containsText" dxfId="153" priority="403" operator="containsText" text="highlight">
      <formula>G234="Fail"</formula>
    </cfRule>
    <cfRule type="containsText" dxfId="152" priority="404" operator="containsText" text="highlight">
      <formula>G234="Pass"</formula>
    </cfRule>
  </conditionalFormatting>
  <conditionalFormatting sqref="G238">
    <cfRule type="containsText" dxfId="151" priority="405" operator="containsText" text="highlight">
      <formula>G238="Fail"</formula>
    </cfRule>
    <cfRule type="containsText" dxfId="150" priority="406" operator="containsText" text="highlight">
      <formula>G238="Pass"</formula>
    </cfRule>
  </conditionalFormatting>
  <conditionalFormatting sqref="G239">
    <cfRule type="containsText" dxfId="149" priority="407" operator="containsText" text="highlight">
      <formula>G239="Fail"</formula>
    </cfRule>
    <cfRule type="containsText" dxfId="148" priority="408" operator="containsText" text="highlight">
      <formula>G239="Pass"</formula>
    </cfRule>
  </conditionalFormatting>
  <conditionalFormatting sqref="G240">
    <cfRule type="containsText" dxfId="147" priority="409" operator="containsText" text="highlight">
      <formula>G240="Fail"</formula>
    </cfRule>
    <cfRule type="containsText" dxfId="146" priority="410" operator="containsText" text="highlight">
      <formula>G240="Pass"</formula>
    </cfRule>
  </conditionalFormatting>
  <conditionalFormatting sqref="G241">
    <cfRule type="containsText" dxfId="145" priority="411" operator="containsText" text="highlight">
      <formula>G241="Fail"</formula>
    </cfRule>
    <cfRule type="containsText" dxfId="144" priority="412" operator="containsText" text="highlight">
      <formula>G241="Pass"</formula>
    </cfRule>
  </conditionalFormatting>
  <conditionalFormatting sqref="G242">
    <cfRule type="containsText" dxfId="143" priority="413" operator="containsText" text="highlight">
      <formula>G242="Fail"</formula>
    </cfRule>
    <cfRule type="containsText" dxfId="142" priority="414" operator="containsText" text="highlight">
      <formula>G242="Pass"</formula>
    </cfRule>
  </conditionalFormatting>
  <conditionalFormatting sqref="G243">
    <cfRule type="containsText" dxfId="141" priority="415" operator="containsText" text="highlight">
      <formula>G243="Fail"</formula>
    </cfRule>
    <cfRule type="containsText" dxfId="140" priority="416" operator="containsText" text="highlight">
      <formula>G243="Pass"</formula>
    </cfRule>
  </conditionalFormatting>
  <conditionalFormatting sqref="G244">
    <cfRule type="containsText" dxfId="139" priority="417" operator="containsText" text="highlight">
      <formula>G244="Fail"</formula>
    </cfRule>
    <cfRule type="containsText" dxfId="138" priority="418" operator="containsText" text="highlight">
      <formula>G244="Pass"</formula>
    </cfRule>
  </conditionalFormatting>
  <conditionalFormatting sqref="G245">
    <cfRule type="containsText" dxfId="137" priority="419" operator="containsText" text="highlight">
      <formula>G245="Fail"</formula>
    </cfRule>
    <cfRule type="containsText" dxfId="136" priority="420" operator="containsText" text="highlight">
      <formula>G245="Pass"</formula>
    </cfRule>
  </conditionalFormatting>
  <conditionalFormatting sqref="G246">
    <cfRule type="containsText" dxfId="135" priority="421" operator="containsText" text="highlight">
      <formula>G246="Fail"</formula>
    </cfRule>
    <cfRule type="containsText" dxfId="134" priority="422" operator="containsText" text="highlight">
      <formula>G246="Pass"</formula>
    </cfRule>
  </conditionalFormatting>
  <conditionalFormatting sqref="G247">
    <cfRule type="containsText" dxfId="133" priority="423" operator="containsText" text="highlight">
      <formula>G247="Fail"</formula>
    </cfRule>
    <cfRule type="containsText" dxfId="132" priority="424" operator="containsText" text="highlight">
      <formula>G247="Pass"</formula>
    </cfRule>
  </conditionalFormatting>
  <conditionalFormatting sqref="G248">
    <cfRule type="containsText" dxfId="131" priority="425" operator="containsText" text="highlight">
      <formula>G248="Fail"</formula>
    </cfRule>
    <cfRule type="containsText" dxfId="130" priority="426" operator="containsText" text="highlight">
      <formula>G248="Pass"</formula>
    </cfRule>
  </conditionalFormatting>
  <conditionalFormatting sqref="G249">
    <cfRule type="containsText" dxfId="129" priority="427" operator="containsText" text="highlight">
      <formula>G249="Fail"</formula>
    </cfRule>
    <cfRule type="containsText" dxfId="128" priority="428" operator="containsText" text="highlight">
      <formula>G249="Pass"</formula>
    </cfRule>
  </conditionalFormatting>
  <conditionalFormatting sqref="G250">
    <cfRule type="containsText" dxfId="127" priority="429" operator="containsText" text="highlight">
      <formula>G250="Fail"</formula>
    </cfRule>
    <cfRule type="containsText" dxfId="126" priority="430" operator="containsText" text="highlight">
      <formula>G250="Pass"</formula>
    </cfRule>
  </conditionalFormatting>
  <conditionalFormatting sqref="G251">
    <cfRule type="containsText" dxfId="125" priority="431" operator="containsText" text="highlight">
      <formula>G251="Fail"</formula>
    </cfRule>
    <cfRule type="containsText" dxfId="124" priority="432" operator="containsText" text="highlight">
      <formula>G251="Pass"</formula>
    </cfRule>
  </conditionalFormatting>
  <conditionalFormatting sqref="G252">
    <cfRule type="containsText" dxfId="123" priority="433" operator="containsText" text="highlight">
      <formula>G252="Fail"</formula>
    </cfRule>
    <cfRule type="containsText" dxfId="122" priority="434" operator="containsText" text="highlight">
      <formula>G252="Pass"</formula>
    </cfRule>
  </conditionalFormatting>
  <conditionalFormatting sqref="G253">
    <cfRule type="containsText" dxfId="121" priority="435" operator="containsText" text="highlight">
      <formula>G253="Fail"</formula>
    </cfRule>
    <cfRule type="containsText" dxfId="120" priority="436" operator="containsText" text="highlight">
      <formula>G253="Pass"</formula>
    </cfRule>
  </conditionalFormatting>
  <conditionalFormatting sqref="G257">
    <cfRule type="containsText" dxfId="119" priority="437" operator="containsText" text="highlight">
      <formula>G257="Fail"</formula>
    </cfRule>
    <cfRule type="containsText" dxfId="118" priority="438" operator="containsText" text="highlight">
      <formula>G257="Pass"</formula>
    </cfRule>
  </conditionalFormatting>
  <conditionalFormatting sqref="G258">
    <cfRule type="containsText" dxfId="117" priority="439" operator="containsText" text="highlight">
      <formula>G258="Fail"</formula>
    </cfRule>
    <cfRule type="containsText" dxfId="116" priority="440" operator="containsText" text="highlight">
      <formula>G258="Pass"</formula>
    </cfRule>
  </conditionalFormatting>
  <conditionalFormatting sqref="G259">
    <cfRule type="containsText" dxfId="115" priority="441" operator="containsText" text="highlight">
      <formula>G259="Fail"</formula>
    </cfRule>
    <cfRule type="containsText" dxfId="114" priority="442" operator="containsText" text="highlight">
      <formula>G259="Pass"</formula>
    </cfRule>
  </conditionalFormatting>
  <conditionalFormatting sqref="G260">
    <cfRule type="containsText" dxfId="113" priority="443" operator="containsText" text="highlight">
      <formula>G260="Fail"</formula>
    </cfRule>
    <cfRule type="containsText" dxfId="112" priority="444" operator="containsText" text="highlight">
      <formula>G260="Pass"</formula>
    </cfRule>
  </conditionalFormatting>
  <conditionalFormatting sqref="G261">
    <cfRule type="containsText" dxfId="111" priority="445" operator="containsText" text="highlight">
      <formula>G261="Fail"</formula>
    </cfRule>
    <cfRule type="containsText" dxfId="110" priority="446" operator="containsText" text="highlight">
      <formula>G261="Pass"</formula>
    </cfRule>
  </conditionalFormatting>
  <conditionalFormatting sqref="G262">
    <cfRule type="containsText" dxfId="109" priority="447" operator="containsText" text="highlight">
      <formula>G262="Fail"</formula>
    </cfRule>
    <cfRule type="containsText" dxfId="108" priority="448" operator="containsText" text="highlight">
      <formula>G262="Pass"</formula>
    </cfRule>
  </conditionalFormatting>
  <conditionalFormatting sqref="G263">
    <cfRule type="containsText" dxfId="107" priority="449" operator="containsText" text="highlight">
      <formula>G263="Fail"</formula>
    </cfRule>
    <cfRule type="containsText" dxfId="106" priority="450" operator="containsText" text="highlight">
      <formula>G263="Pass"</formula>
    </cfRule>
  </conditionalFormatting>
  <conditionalFormatting sqref="G264">
    <cfRule type="containsText" dxfId="105" priority="451" operator="containsText" text="highlight">
      <formula>G264="Fail"</formula>
    </cfRule>
    <cfRule type="containsText" dxfId="104" priority="452" operator="containsText" text="highlight">
      <formula>G264="Pass"</formula>
    </cfRule>
  </conditionalFormatting>
  <conditionalFormatting sqref="G265">
    <cfRule type="containsText" dxfId="103" priority="453" operator="containsText" text="highlight">
      <formula>G265="Fail"</formula>
    </cfRule>
    <cfRule type="containsText" dxfId="102" priority="454" operator="containsText" text="highlight">
      <formula>G265="Pass"</formula>
    </cfRule>
  </conditionalFormatting>
  <conditionalFormatting sqref="G266">
    <cfRule type="containsText" dxfId="101" priority="455" operator="containsText" text="highlight">
      <formula>G266="Fail"</formula>
    </cfRule>
    <cfRule type="containsText" dxfId="100" priority="456" operator="containsText" text="highlight">
      <formula>G266="Pass"</formula>
    </cfRule>
  </conditionalFormatting>
  <conditionalFormatting sqref="G267">
    <cfRule type="containsText" dxfId="99" priority="457" operator="containsText" text="highlight">
      <formula>G267="Fail"</formula>
    </cfRule>
    <cfRule type="containsText" dxfId="98" priority="458" operator="containsText" text="highlight">
      <formula>G267="Pass"</formula>
    </cfRule>
  </conditionalFormatting>
  <conditionalFormatting sqref="G268">
    <cfRule type="containsText" dxfId="97" priority="459" operator="containsText" text="highlight">
      <formula>G268="Fail"</formula>
    </cfRule>
    <cfRule type="containsText" dxfId="96" priority="460" operator="containsText" text="highlight">
      <formula>G268="Pass"</formula>
    </cfRule>
  </conditionalFormatting>
  <conditionalFormatting sqref="G269">
    <cfRule type="containsText" dxfId="95" priority="461" operator="containsText" text="highlight">
      <formula>G269="Fail"</formula>
    </cfRule>
    <cfRule type="containsText" dxfId="94" priority="462" operator="containsText" text="highlight">
      <formula>G269="Pass"</formula>
    </cfRule>
  </conditionalFormatting>
  <conditionalFormatting sqref="G270">
    <cfRule type="containsText" dxfId="93" priority="463" operator="containsText" text="highlight">
      <formula>G270="Fail"</formula>
    </cfRule>
    <cfRule type="containsText" dxfId="92" priority="464" operator="containsText" text="highlight">
      <formula>G270="Pass"</formula>
    </cfRule>
  </conditionalFormatting>
  <conditionalFormatting sqref="G271">
    <cfRule type="containsText" dxfId="91" priority="465" operator="containsText" text="highlight">
      <formula>G271="Fail"</formula>
    </cfRule>
    <cfRule type="containsText" dxfId="90" priority="466" operator="containsText" text="highlight">
      <formula>G271="Pass"</formula>
    </cfRule>
  </conditionalFormatting>
  <conditionalFormatting sqref="G272">
    <cfRule type="containsText" dxfId="89" priority="467" operator="containsText" text="highlight">
      <formula>G272="Fail"</formula>
    </cfRule>
    <cfRule type="containsText" dxfId="88" priority="468" operator="containsText" text="highlight">
      <formula>G272="Pass"</formula>
    </cfRule>
  </conditionalFormatting>
  <conditionalFormatting sqref="G276">
    <cfRule type="containsText" dxfId="87" priority="469" operator="containsText" text="highlight">
      <formula>G276="Fail"</formula>
    </cfRule>
    <cfRule type="containsText" dxfId="86" priority="470" operator="containsText" text="highlight">
      <formula>G276="Pass"</formula>
    </cfRule>
  </conditionalFormatting>
  <conditionalFormatting sqref="G277">
    <cfRule type="containsText" dxfId="85" priority="471" operator="containsText" text="highlight">
      <formula>G277="Fail"</formula>
    </cfRule>
    <cfRule type="containsText" dxfId="84" priority="472" operator="containsText" text="highlight">
      <formula>G277="Pass"</formula>
    </cfRule>
  </conditionalFormatting>
  <conditionalFormatting sqref="G278">
    <cfRule type="containsText" dxfId="83" priority="473" operator="containsText" text="highlight">
      <formula>G278="Fail"</formula>
    </cfRule>
    <cfRule type="containsText" dxfId="82" priority="474" operator="containsText" text="highlight">
      <formula>G278="Pass"</formula>
    </cfRule>
  </conditionalFormatting>
  <conditionalFormatting sqref="G279">
    <cfRule type="containsText" dxfId="81" priority="475" operator="containsText" text="highlight">
      <formula>G279="Fail"</formula>
    </cfRule>
    <cfRule type="containsText" dxfId="80" priority="476" operator="containsText" text="highlight">
      <formula>G279="Pass"</formula>
    </cfRule>
  </conditionalFormatting>
  <conditionalFormatting sqref="G280">
    <cfRule type="containsText" dxfId="79" priority="477" operator="containsText" text="highlight">
      <formula>G280="Fail"</formula>
    </cfRule>
    <cfRule type="containsText" dxfId="78" priority="478" operator="containsText" text="highlight">
      <formula>G280="Pass"</formula>
    </cfRule>
  </conditionalFormatting>
  <conditionalFormatting sqref="G281">
    <cfRule type="containsText" dxfId="77" priority="479" operator="containsText" text="highlight">
      <formula>G281="Fail"</formula>
    </cfRule>
    <cfRule type="containsText" dxfId="76" priority="480" operator="containsText" text="highlight">
      <formula>G281="Pass"</formula>
    </cfRule>
  </conditionalFormatting>
  <conditionalFormatting sqref="G282">
    <cfRule type="containsText" dxfId="75" priority="481" operator="containsText" text="highlight">
      <formula>G282="Fail"</formula>
    </cfRule>
    <cfRule type="containsText" dxfId="74" priority="482" operator="containsText" text="highlight">
      <formula>G282="Pass"</formula>
    </cfRule>
  </conditionalFormatting>
  <conditionalFormatting sqref="G283">
    <cfRule type="containsText" dxfId="73" priority="483" operator="containsText" text="highlight">
      <formula>G283="Fail"</formula>
    </cfRule>
    <cfRule type="containsText" dxfId="72" priority="484" operator="containsText" text="highlight">
      <formula>G283="Pass"</formula>
    </cfRule>
  </conditionalFormatting>
  <conditionalFormatting sqref="G284">
    <cfRule type="containsText" dxfId="71" priority="485" operator="containsText" text="highlight">
      <formula>G284="Fail"</formula>
    </cfRule>
    <cfRule type="containsText" dxfId="70" priority="486" operator="containsText" text="highlight">
      <formula>G284="Pass"</formula>
    </cfRule>
  </conditionalFormatting>
  <conditionalFormatting sqref="G285">
    <cfRule type="containsText" dxfId="69" priority="487" operator="containsText" text="highlight">
      <formula>G285="Fail"</formula>
    </cfRule>
    <cfRule type="containsText" dxfId="68" priority="488" operator="containsText" text="highlight">
      <formula>G285="Pass"</formula>
    </cfRule>
  </conditionalFormatting>
  <conditionalFormatting sqref="G286">
    <cfRule type="containsText" dxfId="67" priority="489" operator="containsText" text="highlight">
      <formula>G286="Fail"</formula>
    </cfRule>
    <cfRule type="containsText" dxfId="66" priority="490" operator="containsText" text="highlight">
      <formula>G286="Pass"</formula>
    </cfRule>
  </conditionalFormatting>
  <conditionalFormatting sqref="G287">
    <cfRule type="containsText" dxfId="65" priority="491" operator="containsText" text="highlight">
      <formula>G287="Fail"</formula>
    </cfRule>
    <cfRule type="containsText" dxfId="64" priority="492" operator="containsText" text="highlight">
      <formula>G287="Pass"</formula>
    </cfRule>
  </conditionalFormatting>
  <conditionalFormatting sqref="G288">
    <cfRule type="containsText" dxfId="63" priority="493" operator="containsText" text="highlight">
      <formula>G288="Fail"</formula>
    </cfRule>
    <cfRule type="containsText" dxfId="62" priority="494" operator="containsText" text="highlight">
      <formula>G288="Pass"</formula>
    </cfRule>
  </conditionalFormatting>
  <conditionalFormatting sqref="G289">
    <cfRule type="containsText" dxfId="61" priority="495" operator="containsText" text="highlight">
      <formula>G289="Fail"</formula>
    </cfRule>
    <cfRule type="containsText" dxfId="60" priority="496" operator="containsText" text="highlight">
      <formula>G289="Pass"</formula>
    </cfRule>
  </conditionalFormatting>
  <conditionalFormatting sqref="G290">
    <cfRule type="containsText" dxfId="59" priority="497" operator="containsText" text="highlight">
      <formula>G290="Fail"</formula>
    </cfRule>
    <cfRule type="containsText" dxfId="58" priority="498" operator="containsText" text="highlight">
      <formula>G290="Pass"</formula>
    </cfRule>
  </conditionalFormatting>
  <conditionalFormatting sqref="G291">
    <cfRule type="containsText" dxfId="57" priority="499" operator="containsText" text="highlight">
      <formula>G291="Fail"</formula>
    </cfRule>
    <cfRule type="containsText" dxfId="56" priority="500" operator="containsText" text="highlight">
      <formula>G291="Pass"</formula>
    </cfRule>
  </conditionalFormatting>
  <conditionalFormatting sqref="F296">
    <cfRule type="containsText" dxfId="55" priority="501" operator="containsText" text="highlight">
      <formula>F296="Fail"</formula>
    </cfRule>
    <cfRule type="containsText" dxfId="54" priority="502" operator="containsText" text="highlight">
      <formula>F296="Pass"</formula>
    </cfRule>
  </conditionalFormatting>
  <conditionalFormatting sqref="F297">
    <cfRule type="containsText" dxfId="53" priority="503" operator="containsText" text="highlight">
      <formula>F297="Fail"</formula>
    </cfRule>
    <cfRule type="containsText" dxfId="52" priority="504" operator="containsText" text="highlight">
      <formula>F297="Pass"</formula>
    </cfRule>
  </conditionalFormatting>
  <conditionalFormatting sqref="F299">
    <cfRule type="containsText" dxfId="51" priority="505" operator="containsText" text="highlight">
      <formula>F299="Fail"</formula>
    </cfRule>
    <cfRule type="containsText" dxfId="50" priority="506" operator="containsText" text="highlight">
      <formula>F299="Pass"</formula>
    </cfRule>
  </conditionalFormatting>
  <conditionalFormatting sqref="F300">
    <cfRule type="containsText" dxfId="49" priority="507" operator="containsText" text="highlight">
      <formula>F300="Fail"</formula>
    </cfRule>
    <cfRule type="containsText" dxfId="48" priority="508" operator="containsText" text="highlight">
      <formula>F300="Pass"</formula>
    </cfRule>
  </conditionalFormatting>
  <conditionalFormatting sqref="F302">
    <cfRule type="containsText" dxfId="47" priority="509" operator="containsText" text="highlight">
      <formula>F302="Fail"</formula>
    </cfRule>
    <cfRule type="containsText" dxfId="46" priority="510" operator="containsText" text="highlight">
      <formula>F302="Pass"</formula>
    </cfRule>
  </conditionalFormatting>
  <conditionalFormatting sqref="F303">
    <cfRule type="containsText" dxfId="45" priority="511" operator="containsText" text="highlight">
      <formula>F303="Fail"</formula>
    </cfRule>
    <cfRule type="containsText" dxfId="44" priority="512" operator="containsText" text="highlight">
      <formula>F303="Pass"</formula>
    </cfRule>
  </conditionalFormatting>
  <conditionalFormatting sqref="F305">
    <cfRule type="containsText" dxfId="43" priority="513" operator="containsText" text="highlight">
      <formula>F305="Fail"</formula>
    </cfRule>
    <cfRule type="containsText" dxfId="42" priority="514" operator="containsText" text="highlight">
      <formula>F305="Pass"</formula>
    </cfRule>
  </conditionalFormatting>
  <conditionalFormatting sqref="F306">
    <cfRule type="containsText" dxfId="41" priority="515" operator="containsText" text="highlight">
      <formula>F306="Fail"</formula>
    </cfRule>
    <cfRule type="containsText" dxfId="40" priority="516" operator="containsText" text="highlight">
      <formula>F306="Pass"</formula>
    </cfRule>
  </conditionalFormatting>
  <conditionalFormatting sqref="F311">
    <cfRule type="containsText" dxfId="39" priority="517" operator="containsText" text="highlight">
      <formula>F311="Fail"</formula>
    </cfRule>
    <cfRule type="containsText" dxfId="38" priority="518" operator="containsText" text="highlight">
      <formula>F311="Pass"</formula>
    </cfRule>
  </conditionalFormatting>
  <conditionalFormatting sqref="F313">
    <cfRule type="containsText" dxfId="37" priority="519" operator="containsText" text="highlight">
      <formula>F313="Fail"</formula>
    </cfRule>
    <cfRule type="containsText" dxfId="36" priority="520" operator="containsText" text="highlight">
      <formula>F313="Pass"</formula>
    </cfRule>
  </conditionalFormatting>
  <conditionalFormatting sqref="F315">
    <cfRule type="containsText" dxfId="35" priority="521" operator="containsText" text="highlight">
      <formula>F315="Fail"</formula>
    </cfRule>
    <cfRule type="containsText" dxfId="34" priority="522" operator="containsText" text="highlight">
      <formula>F315="Pass"</formula>
    </cfRule>
  </conditionalFormatting>
  <conditionalFormatting sqref="F317">
    <cfRule type="containsText" dxfId="33" priority="523" operator="containsText" text="highlight">
      <formula>F317="Fail"</formula>
    </cfRule>
    <cfRule type="containsText" dxfId="32" priority="524" operator="containsText" text="highlight">
      <formula>F317="Pass"</formula>
    </cfRule>
  </conditionalFormatting>
  <conditionalFormatting sqref="F321">
    <cfRule type="containsText" dxfId="31" priority="525" operator="containsText" text="highlight">
      <formula>F321="Fail"</formula>
    </cfRule>
    <cfRule type="containsText" dxfId="30" priority="526" operator="containsText" text="highlight">
      <formula>F321="Pass"</formula>
    </cfRule>
  </conditionalFormatting>
  <conditionalFormatting sqref="E325:E327">
    <cfRule type="containsText" dxfId="29" priority="527" operator="containsText" text="highlight">
      <formula>E325="Fail"</formula>
    </cfRule>
    <cfRule type="containsText" dxfId="28" priority="528" operator="containsText" text="highlight">
      <formula>E325="Pass"</formula>
    </cfRule>
  </conditionalFormatting>
  <conditionalFormatting sqref="E331:E333">
    <cfRule type="containsText" dxfId="5" priority="5" operator="containsText" text="highlight">
      <formula>E331="Fail"</formula>
    </cfRule>
    <cfRule type="containsText" dxfId="4" priority="6" operator="containsText" text="highlight">
      <formula>E331="Pass"</formula>
    </cfRule>
  </conditionalFormatting>
  <conditionalFormatting sqref="E337:E339">
    <cfRule type="containsText" dxfId="3" priority="3" operator="containsText" text="highlight">
      <formula>E337="Fail"</formula>
    </cfRule>
    <cfRule type="containsText" dxfId="2" priority="4" operator="containsText" text="highlight">
      <formula>E337="Pass"</formula>
    </cfRule>
  </conditionalFormatting>
  <conditionalFormatting sqref="E343:E345">
    <cfRule type="containsText" dxfId="1" priority="1" operator="containsText" text="highlight">
      <formula>E343="Fail"</formula>
    </cfRule>
    <cfRule type="containsText" dxfId="0" priority="2" operator="containsText" text="highlight">
      <formula>E343="Pass"</formula>
    </cfRule>
  </conditionalFormatting>
  <pageMargins left="0.75" right="0.75" top="1" bottom="1" header="0.5" footer="0.5"/>
  <pageSetup scale="66" fitToHeight="0" orientation="portrait" r:id="rId1"/>
  <headerFooter>
    <oddHeader>&amp;L&amp;G&amp;RPage &amp;P of &amp;N</oddHeader>
    <evenHeader>&amp;RPage &amp;P of &amp;N</evenHeader>
  </headerFooter>
  <rowBreaks count="7" manualBreakCount="7">
    <brk id="66" max="6" man="1"/>
    <brk id="117" max="6" man="1"/>
    <brk id="150" max="6" man="1"/>
    <brk id="183" max="6" man="1"/>
    <brk id="235" max="6" man="1"/>
    <brk id="273" max="6" man="1"/>
    <brk id="322" max="6" man="1"/>
  </rowBreaks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3" baseType="lpstr">
      <vt:lpstr>Sheet</vt:lpstr>
      <vt:lpstr>Sheet!Print_Area</vt:lpstr>
      <vt:lpstr>Sheet!Print_Titles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Dave Kelly</cp:lastModifiedBy>
  <dcterms:created xsi:type="dcterms:W3CDTF">2022-11-02T06:33:55Z</dcterms:created>
  <dcterms:modified xsi:type="dcterms:W3CDTF">2022-11-02T07:03:30Z</dcterms:modified>
</cp:coreProperties>
</file>