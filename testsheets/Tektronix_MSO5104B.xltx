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081967A5-723B-4D07-9F25-85F85D6DBF1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Sheet!$A$1:$I$494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2" i="1" l="1"/>
  <c r="F491" i="1"/>
  <c r="F487" i="1"/>
  <c r="F486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F326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H295" i="1"/>
  <c r="F295" i="1"/>
  <c r="H294" i="1"/>
  <c r="F294" i="1"/>
  <c r="H293" i="1"/>
  <c r="F293" i="1"/>
  <c r="H292" i="1"/>
  <c r="F292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G229" i="1"/>
  <c r="D229" i="1"/>
  <c r="G228" i="1"/>
  <c r="D228" i="1"/>
  <c r="G227" i="1"/>
  <c r="D227" i="1"/>
  <c r="G226" i="1"/>
  <c r="D226" i="1"/>
  <c r="G225" i="1"/>
  <c r="D225" i="1"/>
  <c r="G224" i="1"/>
  <c r="D224" i="1"/>
  <c r="G223" i="1"/>
  <c r="D223" i="1"/>
  <c r="G222" i="1"/>
  <c r="D222" i="1"/>
  <c r="G221" i="1"/>
  <c r="D221" i="1"/>
  <c r="G220" i="1"/>
  <c r="D220" i="1"/>
  <c r="G219" i="1"/>
  <c r="D219" i="1"/>
  <c r="G218" i="1"/>
  <c r="D218" i="1"/>
  <c r="G217" i="1"/>
  <c r="D217" i="1"/>
  <c r="G216" i="1"/>
  <c r="D216" i="1"/>
  <c r="G215" i="1"/>
  <c r="D215" i="1"/>
  <c r="G214" i="1"/>
  <c r="D214" i="1"/>
  <c r="G213" i="1"/>
  <c r="D213" i="1"/>
  <c r="G212" i="1"/>
  <c r="D212" i="1"/>
  <c r="G211" i="1"/>
  <c r="D211" i="1"/>
  <c r="G210" i="1"/>
  <c r="D210" i="1"/>
  <c r="G209" i="1"/>
  <c r="D209" i="1"/>
  <c r="G208" i="1"/>
  <c r="D208" i="1"/>
  <c r="G207" i="1"/>
  <c r="D207" i="1"/>
  <c r="G206" i="1"/>
  <c r="D206" i="1"/>
  <c r="G205" i="1"/>
  <c r="D205" i="1"/>
  <c r="G204" i="1"/>
  <c r="D204" i="1"/>
  <c r="G203" i="1"/>
  <c r="D203" i="1"/>
  <c r="G202" i="1"/>
  <c r="D202" i="1"/>
  <c r="G201" i="1"/>
  <c r="D201" i="1"/>
  <c r="G200" i="1"/>
  <c r="D200" i="1"/>
  <c r="G199" i="1"/>
  <c r="D199" i="1"/>
  <c r="G198" i="1"/>
  <c r="D198" i="1"/>
  <c r="G197" i="1"/>
  <c r="D197" i="1"/>
  <c r="G196" i="1"/>
  <c r="D196" i="1"/>
  <c r="G195" i="1"/>
  <c r="D195" i="1"/>
  <c r="G194" i="1"/>
  <c r="D194" i="1"/>
  <c r="G193" i="1"/>
  <c r="D193" i="1"/>
  <c r="G192" i="1"/>
  <c r="D192" i="1"/>
  <c r="G191" i="1"/>
  <c r="D191" i="1"/>
  <c r="G190" i="1"/>
  <c r="D190" i="1"/>
  <c r="G189" i="1"/>
  <c r="D189" i="1"/>
  <c r="G188" i="1"/>
  <c r="D188" i="1"/>
  <c r="G187" i="1"/>
  <c r="D187" i="1"/>
  <c r="G186" i="1"/>
  <c r="D186" i="1"/>
  <c r="G185" i="1"/>
  <c r="D185" i="1"/>
  <c r="G184" i="1"/>
  <c r="D184" i="1"/>
  <c r="G183" i="1"/>
  <c r="D183" i="1"/>
  <c r="G182" i="1"/>
  <c r="D182" i="1"/>
  <c r="G181" i="1"/>
  <c r="D181" i="1"/>
  <c r="G180" i="1"/>
  <c r="D180" i="1"/>
  <c r="G179" i="1"/>
  <c r="D179" i="1"/>
  <c r="G178" i="1"/>
  <c r="D178" i="1"/>
  <c r="G177" i="1"/>
  <c r="D177" i="1"/>
  <c r="G176" i="1"/>
  <c r="D176" i="1"/>
  <c r="G175" i="1"/>
  <c r="D175" i="1"/>
  <c r="G174" i="1"/>
  <c r="D174" i="1"/>
  <c r="G173" i="1"/>
  <c r="D173" i="1"/>
  <c r="G172" i="1"/>
  <c r="D172" i="1"/>
  <c r="G171" i="1"/>
  <c r="D171" i="1"/>
  <c r="G170" i="1"/>
  <c r="D170" i="1"/>
  <c r="G169" i="1"/>
  <c r="D169" i="1"/>
  <c r="G168" i="1"/>
  <c r="D168" i="1"/>
  <c r="G167" i="1"/>
  <c r="D167" i="1"/>
  <c r="G166" i="1"/>
  <c r="D166" i="1"/>
  <c r="G165" i="1"/>
  <c r="D165" i="1"/>
  <c r="G164" i="1"/>
  <c r="D164" i="1"/>
  <c r="G163" i="1"/>
  <c r="D163" i="1"/>
  <c r="G162" i="1"/>
  <c r="D162" i="1"/>
  <c r="G161" i="1"/>
  <c r="D161" i="1"/>
  <c r="G160" i="1"/>
  <c r="D160" i="1"/>
  <c r="G159" i="1"/>
  <c r="D159" i="1"/>
  <c r="G158" i="1"/>
  <c r="D158" i="1"/>
  <c r="G157" i="1"/>
  <c r="D157" i="1"/>
  <c r="G156" i="1"/>
  <c r="D156" i="1"/>
  <c r="G155" i="1"/>
  <c r="D155" i="1"/>
  <c r="G154" i="1"/>
  <c r="D154" i="1"/>
  <c r="G153" i="1"/>
  <c r="D153" i="1"/>
  <c r="G152" i="1"/>
  <c r="D152" i="1"/>
  <c r="G151" i="1"/>
  <c r="D151" i="1"/>
  <c r="G150" i="1"/>
  <c r="D150" i="1"/>
  <c r="G149" i="1"/>
  <c r="D149" i="1"/>
  <c r="G148" i="1"/>
  <c r="D148" i="1"/>
  <c r="G147" i="1"/>
  <c r="D147" i="1"/>
  <c r="G146" i="1"/>
  <c r="D146" i="1"/>
  <c r="G145" i="1"/>
  <c r="D145" i="1"/>
  <c r="G144" i="1"/>
  <c r="D144" i="1"/>
  <c r="G143" i="1"/>
  <c r="D143" i="1"/>
  <c r="G142" i="1"/>
  <c r="D142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</calcChain>
</file>

<file path=xl/sharedStrings.xml><?xml version="1.0" encoding="utf-8"?>
<sst xmlns="http://schemas.openxmlformats.org/spreadsheetml/2006/main" count="1919" uniqueCount="264">
  <si>
    <t>EMU Filename:</t>
  </si>
  <si>
    <t>TEK_MSO5104B</t>
  </si>
  <si>
    <t>PERFORMANCE TEST CARD (AS RECEIVED AND AS COMPLETED</t>
  </si>
  <si>
    <t>DATE:</t>
  </si>
  <si>
    <t>REPORT NUMBER:</t>
  </si>
  <si>
    <t>MODEL NUMBER:</t>
  </si>
  <si>
    <t>MSO5104B</t>
  </si>
  <si>
    <t>DESCRIPTION:</t>
  </si>
  <si>
    <t>1 GHz 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</si>
  <si>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</si>
  <si>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</si>
  <si>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</si>
  <si>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</si>
  <si>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</si>
  <si>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</si>
  <si>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</si>
  <si>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</si>
  <si>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</si>
  <si>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</si>
  <si>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</si>
  <si>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</si>
  <si>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RFTS_TEKMSO5104B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</si>
  <si>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</si>
  <si>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</si>
  <si>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</si>
  <si>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</si>
  <si>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</si>
  <si>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</si>
  <si>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</si>
  <si>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Input Impedance</t>
  </si>
  <si>
    <t>Vertical Scale</t>
  </si>
  <si>
    <t>Lower Limit</t>
  </si>
  <si>
    <t>Measured</t>
  </si>
  <si>
    <t>Upper Limit</t>
  </si>
  <si>
    <t>Units</t>
  </si>
  <si>
    <t>Ch1 1 MOhm</t>
  </si>
  <si>
    <t>10 mV/Div</t>
  </si>
  <si>
    <t>MOhm</t>
  </si>
  <si>
    <t>100 mV/Div</t>
  </si>
  <si>
    <t>1V/Div</t>
  </si>
  <si>
    <t>Ch1 250 kOhm</t>
  </si>
  <si>
    <t>kOhm</t>
  </si>
  <si>
    <t>Ch1 50Ohm</t>
  </si>
  <si>
    <t>Ohm</t>
  </si>
  <si>
    <t>Ch2 1 MOhm</t>
  </si>
  <si>
    <t>Ch2 250 kOhm</t>
  </si>
  <si>
    <t>Ch2 50Ohm</t>
  </si>
  <si>
    <t>Ch3 1 MOhm</t>
  </si>
  <si>
    <t>Ch3 250 kOhm</t>
  </si>
  <si>
    <t>Ch3 50Ohm</t>
  </si>
  <si>
    <t>Ch4 1 MOhm</t>
  </si>
  <si>
    <t>Ch4 250 kOhm</t>
  </si>
  <si>
    <t>Ch4 50Ohm</t>
  </si>
  <si>
    <t>DC Balance</t>
  </si>
  <si>
    <t>Ch 1 DC Bal, 1M Ohm, 20 MHz BW</t>
  </si>
  <si>
    <t>1 mV/div</t>
  </si>
  <si>
    <t>-0.2 mV</t>
  </si>
  <si>
    <t>0.2 mV</t>
  </si>
  <si>
    <t>mV</t>
  </si>
  <si>
    <t>2 mV/div</t>
  </si>
  <si>
    <t>-0.4 mV</t>
  </si>
  <si>
    <t>0.4 mV</t>
  </si>
  <si>
    <t>5 mV/div</t>
  </si>
  <si>
    <t>-1.0 mV</t>
  </si>
  <si>
    <t>1.0 mV</t>
  </si>
  <si>
    <t>10 mV/div</t>
  </si>
  <si>
    <t>-2.0 mV</t>
  </si>
  <si>
    <t>2.0 mV</t>
  </si>
  <si>
    <t>20 mV/div</t>
  </si>
  <si>
    <t>-4.0 mV</t>
  </si>
  <si>
    <t>4.0 mV</t>
  </si>
  <si>
    <t>100 mV/div</t>
  </si>
  <si>
    <t>-20.0 mV</t>
  </si>
  <si>
    <t>20.0 mV</t>
  </si>
  <si>
    <t>500 mV/div</t>
  </si>
  <si>
    <t>-100.0 mV</t>
  </si>
  <si>
    <t>100.0 mV</t>
  </si>
  <si>
    <t>1 V/div</t>
  </si>
  <si>
    <t>-200 mV</t>
  </si>
  <si>
    <t>200 mV</t>
  </si>
  <si>
    <t>10 V/div</t>
  </si>
  <si>
    <t>-2.0 V</t>
  </si>
  <si>
    <t>2.0 V</t>
  </si>
  <si>
    <t>V</t>
  </si>
  <si>
    <t>Ch 1 DC Bal, 1M Ohm, 250 MHz BW</t>
  </si>
  <si>
    <t>-2 mV</t>
  </si>
  <si>
    <t>2 mV</t>
  </si>
  <si>
    <t>Ch 1 DC Bal, 1M Ohm, Full BW</t>
  </si>
  <si>
    <t>-4 mV</t>
  </si>
  <si>
    <t>4 mV</t>
  </si>
  <si>
    <t>Ch 1 DC Bal, 50 Ohm, 20 MHz BW</t>
  </si>
  <si>
    <t>-0.5 mV</t>
  </si>
  <si>
    <t>0.5 mV</t>
  </si>
  <si>
    <t>50 mV/div</t>
  </si>
  <si>
    <t>-5.0 mV</t>
  </si>
  <si>
    <t>5.0 mV</t>
  </si>
  <si>
    <t>-10.0 mV</t>
  </si>
  <si>
    <t>10.0 mV</t>
  </si>
  <si>
    <t>200 mV/div</t>
  </si>
  <si>
    <t>-50.0 mV</t>
  </si>
  <si>
    <t>50.0 mV</t>
  </si>
  <si>
    <t>-100 mV</t>
  </si>
  <si>
    <t>100 mV</t>
  </si>
  <si>
    <t>Ch 1 DC Bal, 50 Ohm, 250 MHz BW</t>
  </si>
  <si>
    <t>Ch 1 DC Bal, 50 Ohm, Full BW</t>
  </si>
  <si>
    <t>Ch 2 DC Bal, 1M Ohm, 20 MHz BW</t>
  </si>
  <si>
    <t>-1.0 V</t>
  </si>
  <si>
    <t>1.0 V</t>
  </si>
  <si>
    <t>Ch 2 DC Bal, 1M Ohm, 250 MHz BW</t>
  </si>
  <si>
    <t>Ch 2 DC Bal, 1M Ohm, Full BW</t>
  </si>
  <si>
    <t>Ch 2 DC Bal, 50 Ohm, 20 MHz BW</t>
  </si>
  <si>
    <t>Ch 2 DC Bal, 50 Ohm, 250 MHz BW</t>
  </si>
  <si>
    <t>Ch 2 DC Bal, 50 Ohm, Full BW</t>
  </si>
  <si>
    <t>Ch 3 DC Bal, 1M Ohm, 20 MHz BW</t>
  </si>
  <si>
    <t>Ch 3 DC Bal, 1M Ohm, 250 MHz BW</t>
  </si>
  <si>
    <t>Ch 3 DC Bal, 1M Ohm, Full BW</t>
  </si>
  <si>
    <t>Ch 3 DC Bal, 50 Ohm, 20 MHz BW</t>
  </si>
  <si>
    <t>Ch 3 DC Bal, 50 Ohm, 250 MHz BW</t>
  </si>
  <si>
    <t>Ch 3 DC Bal, 50 Ohm, Full BW</t>
  </si>
  <si>
    <t>Ch 4 DC Bal, 1M Ohm, 20 MHz BW</t>
  </si>
  <si>
    <t>-200mV</t>
  </si>
  <si>
    <t>Ch 4 DC Bal, 1M Ohm, 250 MHz BW</t>
  </si>
  <si>
    <t>Ch 4 DC Bal, 1M Ohm, Full BW</t>
  </si>
  <si>
    <t>Ch 4 DC Bal, 50 Ohm, 20 MHz BW</t>
  </si>
  <si>
    <t>Ch 4 DC Bal, 50 Ohm, 250 MHz BW</t>
  </si>
  <si>
    <t>Ch 4 DC Bal, 50 Ohm, Full BW</t>
  </si>
  <si>
    <t>DC Gain Accuracy</t>
  </si>
  <si>
    <t>V-</t>
  </si>
  <si>
    <t>V+</t>
  </si>
  <si>
    <t>Ch 1 0V Offset, 1M Ohm, 0V Vert, 20 MHz BW</t>
  </si>
  <si>
    <t>-1.5%</t>
  </si>
  <si>
    <t>1.5%</t>
  </si>
  <si>
    <t>%</t>
  </si>
  <si>
    <t>Ch 1 0V Offset, 1M Ohm, 0V Vert, 250 MHz BW</t>
  </si>
  <si>
    <t>Ch 1 0V Offset, 1M Ohm, 0V Vert, Full BW</t>
  </si>
  <si>
    <t>Ch 1 0V Offset, 50 Ohm, 0V Vert, 20 MHz BW</t>
  </si>
  <si>
    <t>Ch 1 0V Offset, 50 Ohm, 0V Vert, 250 MHz BW</t>
  </si>
  <si>
    <t>Ch 1 0V Offset, 50 Ohm, 0V Vert, Full BW</t>
  </si>
  <si>
    <t>Ch 2 0V Offset, 1M Ohm, 0V Vert, 20 MHz BW</t>
  </si>
  <si>
    <t>Ch 2 0V Offset, 1M Ohm, 0V Vert, 250 MHz BW</t>
  </si>
  <si>
    <t>Ch 2 0V Offset, 1M Ohm, 0V Vert, Full BW</t>
  </si>
  <si>
    <t>Ch 2 0V Offset, 50 Ohm, 0V Vert, 20 MHz BW</t>
  </si>
  <si>
    <t>Ch 2 0V Offset, 50 Ohm, 0V Vert, 250 MHz BW</t>
  </si>
  <si>
    <t>Ch 2 0V Offset, 50 Ohm, 0V Vert, Full BW</t>
  </si>
  <si>
    <t>Ch 3 0V Offset, 1M Ohm, 0V Vert, 20 MHz BW</t>
  </si>
  <si>
    <t>Ch 3 0V Offset, 1M Ohm, 0V Vert, 250 MHz BW</t>
  </si>
  <si>
    <t>Ch 3 0V Offset, 1M Ohm, 0V Vert, Full BW</t>
  </si>
  <si>
    <t>Ch 3 0V Offset, 50 Ohm, 0V Vert, 20 MHz BW</t>
  </si>
  <si>
    <t>Ch 3 0V Offset, 50 Ohm, 0V Vert, 250 MHz BW</t>
  </si>
  <si>
    <t>Ch 3 0V Offset, 50 Ohm, 0V Vert, Full BW</t>
  </si>
  <si>
    <t>Ch 4 0V Offset, 1M Ohm, 0V Vert, 20 MHz BW</t>
  </si>
  <si>
    <t>Ch 4 0V Offset, 1M Ohm, 0V Vert, 250 MHz BW</t>
  </si>
  <si>
    <t>Ch 4 0V Offset, 1M Ohm, 0V Vert, Full BW</t>
  </si>
  <si>
    <t>Ch 4 0V Offset, 50 Ohm, 0V Vert, 20 MHz BW</t>
  </si>
  <si>
    <t>Ch 4 0V Offset, 50 Ohm, 0V Vert, 250 MHz BW</t>
  </si>
  <si>
    <t>Ch 4 0V Offset, 50 Ohm, 0V Vert, Full BW</t>
  </si>
  <si>
    <t>DC Offset</t>
  </si>
  <si>
    <t>Vertical Offset</t>
  </si>
  <si>
    <t>Ch 1, 1M Ohm, 20 MHz BW</t>
  </si>
  <si>
    <t>900 mV</t>
  </si>
  <si>
    <t>-900 mV</t>
  </si>
  <si>
    <t>9.0 V</t>
  </si>
  <si>
    <t>-9.0 V</t>
  </si>
  <si>
    <t>1.01 V/div</t>
  </si>
  <si>
    <t>99.5 V</t>
  </si>
  <si>
    <t>-99.5 V</t>
  </si>
  <si>
    <t>3 V/div</t>
  </si>
  <si>
    <t>9.5 V</t>
  </si>
  <si>
    <t>-9.5 V</t>
  </si>
  <si>
    <t>Ch 1, 50 Ohm, 20 MHz BW</t>
  </si>
  <si>
    <t>1mV/div</t>
  </si>
  <si>
    <t>100mV/div</t>
  </si>
  <si>
    <t>4.5 V</t>
  </si>
  <si>
    <t>-4.5 V</t>
  </si>
  <si>
    <t>Ch 2, 1M Ohm, 20 MHz BW</t>
  </si>
  <si>
    <t>Ch 2, 50 Ohm, 20 MHz BW</t>
  </si>
  <si>
    <t>Ch 3, 1M Ohm, 20 MHz BW</t>
  </si>
  <si>
    <t>Ch 3, 50 Ohm, 20 MHz BW</t>
  </si>
  <si>
    <t>Ch 4, 1M Ohm, 20 MHz BW</t>
  </si>
  <si>
    <t>Ch 4, 50 Ohm, 20 MHz BW</t>
  </si>
  <si>
    <t>Analog Bandwidth</t>
  </si>
  <si>
    <t>Hoizontal Scale</t>
  </si>
  <si>
    <t>V ref</t>
  </si>
  <si>
    <t>V 1 GHz</t>
  </si>
  <si>
    <t>Ch 1 50 Ohm, 1 V/Div, Full BW</t>
  </si>
  <si>
    <t>1 ns/Div</t>
  </si>
  <si>
    <t>Ch 2 50 Ohm, 1 V/Div, Full BW</t>
  </si>
  <si>
    <t>Ch 3 50 Ohm, 1 V/Div, Full BW</t>
  </si>
  <si>
    <t>Ch 4 50 Ohm, 1 V/Div, Full BW</t>
  </si>
  <si>
    <t>Random noise, Sample Acquisition Mode</t>
  </si>
  <si>
    <t>Bandwidth</t>
  </si>
  <si>
    <t>Impedance</t>
  </si>
  <si>
    <t>Ch 1, 100 mV/Div</t>
  </si>
  <si>
    <t>Full</t>
  </si>
  <si>
    <t>1M Ohm</t>
  </si>
  <si>
    <t>250 MHz</t>
  </si>
  <si>
    <t>20 MHz</t>
  </si>
  <si>
    <t>50 Ohm</t>
  </si>
  <si>
    <t>Ch 2, 100 mV/Div</t>
  </si>
  <si>
    <t>Ch 3, 100 mV/Div</t>
  </si>
  <si>
    <t>Ch 4, 100 mV/Div</t>
  </si>
  <si>
    <t>Sample Rate and Delay Time Accuracy</t>
  </si>
  <si>
    <t>Div</t>
  </si>
  <si>
    <t>Delta Time Measurement Accuracy</t>
  </si>
  <si>
    <t>Source V p-p</t>
  </si>
  <si>
    <t>Ch 1, Sample rate 10 GS/s, 4 ns/Div, Source = 240 MHz</t>
  </si>
  <si>
    <t>1 mV/Div</t>
  </si>
  <si>
    <t>ps</t>
  </si>
  <si>
    <t>5 mV/Div</t>
  </si>
  <si>
    <t>500 mV/Div</t>
  </si>
  <si>
    <t>1 V/Div</t>
  </si>
  <si>
    <t>Ch 1, Sample rate 5 GS/s, 40 ns/Div, Source = 24 MHz</t>
  </si>
  <si>
    <t>Ch 1, Sample rate 5 GS/s, 400 ns/Div, Source = 2.4 MHz</t>
  </si>
  <si>
    <t>ns</t>
  </si>
  <si>
    <t>Ch 1, Sample rate 2.5 GS/s, 4 us/Div, Source = 240 kHz</t>
  </si>
  <si>
    <t>Ch 1, Sample rate 200 MS/s, 40 us/Div, Source = 24 kHz</t>
  </si>
  <si>
    <t>Ch 1, Sample rate 20 MS/s, 400 us/Div, Source = 2.4 kHz</t>
  </si>
  <si>
    <t>us</t>
  </si>
  <si>
    <t>Ch 1, Ch 1, Sample rate 20 MS/s, 400 us/Div, Source = 2.4 kHz</t>
  </si>
  <si>
    <t>Ch 2, Sample rate 10 GS/s, 4 ns/Div, Source = 240 MHz</t>
  </si>
  <si>
    <t>Ch 2, Sample rate 5 GS/s, 40 ns/Div, Source = 24 MHz</t>
  </si>
  <si>
    <t>Ch 2, Sample rate 5 GS/s, 400 ns/Div, Source = 2.4 MHz</t>
  </si>
  <si>
    <t>Ch 2, Sample rate 2.5 GS/s, 4 us/Div, Source = 240 kHz</t>
  </si>
  <si>
    <t>Ch 2, Sample rate 200 MS/s, 40 us/Div, Source = 24 kHz</t>
  </si>
  <si>
    <t>Ch 2, Sample rate 20 MS/s, 400 us/Div, Source = 2.4 kHz</t>
  </si>
  <si>
    <t>Ch 3, Sample rate 10 GS/s, 4 ns/Div, Source = 240 MHz</t>
  </si>
  <si>
    <t>Ch 3, Sample rate 5 GS/s, 40 ns/Div, Source = 24 MHz</t>
  </si>
  <si>
    <t>Ch 3, Sample rate 5 GS/s, 400 ns/Div, Source = 2.4 MHz</t>
  </si>
  <si>
    <t>Ch 3, Sample rate 2.5 GS/s, 4 us/Div, Source = 240 kHz</t>
  </si>
  <si>
    <t>Ch 3, Sample rate 200 MS/s, 40 us/Div, Source = 24 kHz</t>
  </si>
  <si>
    <t>Ch 3, Sample rate 20 MS/s, 400 us/Div, Source = 2.4 kHz</t>
  </si>
  <si>
    <t>Ch 4, Sample rate 10 GS/s, 4 ns/Div, Source = 240 MHz</t>
  </si>
  <si>
    <t>Ch 4, Sample rate 5 GS/s, 40 ns/Div, Source = 24 MHz</t>
  </si>
  <si>
    <t>Ch 4, Sample rate 5 GS/s, 400 ns/Div, Source = 2.4 MHz</t>
  </si>
  <si>
    <t>Ch 4, Sample rate 2.5 GS/s, 4 us/Div, Source = 240 kHz</t>
  </si>
  <si>
    <t>Ch 4, Sample rate 200 MS/s, 40 us/Div, Source = 24 kHz</t>
  </si>
  <si>
    <t>Ch 4, Sample rate 20 MS/s, 400 us/Div, Source = 2.4 kHz</t>
  </si>
  <si>
    <t>Digital Threshold</t>
  </si>
  <si>
    <t>Threshold</t>
  </si>
  <si>
    <t>Vs-</t>
  </si>
  <si>
    <t>Vs+</t>
  </si>
  <si>
    <t>D1</t>
  </si>
  <si>
    <t>0 V</t>
  </si>
  <si>
    <t>((C2+C3)/2),DD.DD</t>
  </si>
  <si>
    <t>4 V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</si>
  <si>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</si>
  <si>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</si>
  <si>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</si>
  <si>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</si>
  <si>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</si>
  <si>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</si>
  <si>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</si>
  <si>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</si>
  <si>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</si>
  <si>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</si>
  <si>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</si>
  <si>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</si>
  <si>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</si>
  <si>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</si>
  <si>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Auxiliary (Trigger) Output High Level</t>
  </si>
  <si>
    <t>Trigger Output High</t>
  </si>
  <si>
    <t>Auxiliary (Trigger) Output Low Level</t>
  </si>
  <si>
    <t>Trigger Output Low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</si>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</sst>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00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525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494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9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6" spans="1:11" x14ac:dyDescent="0.25">
      <c r="A16" s="6" t="s">
        <v>28</v>
      </c>
      <c r="B16" s="6" t="s">
        <v>27</v>
      </c>
      <c r="C16" s="6"/>
      <c r="J16" t="s">
        <v>27</v>
      </c>
    </row>
    <row r="18" spans="1:7" ht="15.75" x14ac:dyDescent="0.25">
      <c r="A18" s="4" t="s">
        <v>29</v>
      </c>
    </row>
    <row r="19" spans="1:7" x14ac:dyDescent="0.25">
      <c r="A19" s="5" t="s">
        <v>25</v>
      </c>
      <c r="B19" s="5" t="s">
        <v>30</v>
      </c>
      <c r="C19" s="5" t="s">
        <v>31</v>
      </c>
      <c r="D19" s="5" t="s">
        <v>32</v>
      </c>
      <c r="E19" s="5" t="s">
        <v>33</v>
      </c>
      <c r="F19" s="5" t="s">
        <v>34</v>
      </c>
      <c r="G19" s="5" t="s">
        <v>26</v>
      </c>
    </row>
    <row r="20" spans="1:7" x14ac:dyDescent="0.25">
      <c r="A20" s="6" t="s">
        <v>35</v>
      </c>
      <c r="B20" s="6" t="s">
        <v>36</v>
      </c>
      <c r="C20" s="6">
        <v>0.99</v>
      </c>
      <c r="D20" s="6"/>
      <c r="E20" s="6">
        <v>1.01</v>
      </c>
      <c r="F20" s="6" t="s">
        <v>37</v>
      </c>
      <c r="G20" s="6" t="str">
        <f t="shared" ref="G20:G43" si="0">IF(ISBLANK(D20),"Not Done",IF(AND(D20&lt;=E20,D20&gt;=C20),"Pass","Fail"))</f>
        <v>Not Done</v>
      </c>
    </row>
    <row r="21" spans="1:7" x14ac:dyDescent="0.25">
      <c r="A21" s="6" t="s">
        <v>35</v>
      </c>
      <c r="B21" s="6" t="s">
        <v>38</v>
      </c>
      <c r="C21" s="6">
        <v>0.99</v>
      </c>
      <c r="D21" s="6"/>
      <c r="E21" s="6">
        <v>1.01</v>
      </c>
      <c r="F21" s="6" t="s">
        <v>37</v>
      </c>
      <c r="G21" s="6" t="str">
        <f t="shared" si="0"/>
        <v>Not Done</v>
      </c>
    </row>
    <row r="22" spans="1:7" x14ac:dyDescent="0.25">
      <c r="A22" s="6" t="s">
        <v>35</v>
      </c>
      <c r="B22" s="6" t="s">
        <v>39</v>
      </c>
      <c r="C22" s="6">
        <v>0.99</v>
      </c>
      <c r="D22" s="6"/>
      <c r="E22" s="6">
        <v>1.01</v>
      </c>
      <c r="F22" s="6" t="s">
        <v>37</v>
      </c>
      <c r="G22" s="6" t="str">
        <f t="shared" si="0"/>
        <v>Not Done</v>
      </c>
    </row>
    <row r="23" spans="1:7" x14ac:dyDescent="0.25">
      <c r="A23" s="6" t="s">
        <v>40</v>
      </c>
      <c r="B23" s="6" t="s">
        <v>38</v>
      </c>
      <c r="C23" s="6">
        <v>246</v>
      </c>
      <c r="D23" s="6"/>
      <c r="E23" s="6">
        <v>254</v>
      </c>
      <c r="F23" s="6" t="s">
        <v>41</v>
      </c>
      <c r="G23" s="6" t="str">
        <f t="shared" si="0"/>
        <v>Not Done</v>
      </c>
    </row>
    <row r="24" spans="1:7" x14ac:dyDescent="0.25">
      <c r="A24" s="6" t="s">
        <v>42</v>
      </c>
      <c r="B24" s="6" t="s">
        <v>36</v>
      </c>
      <c r="C24" s="6">
        <v>49.5</v>
      </c>
      <c r="D24" s="6"/>
      <c r="E24" s="6">
        <v>50.5</v>
      </c>
      <c r="F24" s="6" t="s">
        <v>43</v>
      </c>
      <c r="G24" s="6" t="str">
        <f t="shared" si="0"/>
        <v>Not Done</v>
      </c>
    </row>
    <row r="25" spans="1:7" x14ac:dyDescent="0.25">
      <c r="A25" s="6" t="s">
        <v>42</v>
      </c>
      <c r="B25" s="6" t="s">
        <v>38</v>
      </c>
      <c r="C25" s="6">
        <v>49.5</v>
      </c>
      <c r="D25" s="6"/>
      <c r="E25" s="6">
        <v>50.5</v>
      </c>
      <c r="F25" s="6" t="s">
        <v>43</v>
      </c>
      <c r="G25" s="6" t="str">
        <f t="shared" si="0"/>
        <v>Not Done</v>
      </c>
    </row>
    <row r="26" spans="1:7" x14ac:dyDescent="0.25">
      <c r="A26" s="6" t="s">
        <v>44</v>
      </c>
      <c r="B26" s="6" t="s">
        <v>36</v>
      </c>
      <c r="C26" s="6">
        <v>0.99</v>
      </c>
      <c r="D26" s="6"/>
      <c r="E26" s="6">
        <v>1.01</v>
      </c>
      <c r="F26" s="6" t="s">
        <v>37</v>
      </c>
      <c r="G26" s="6" t="str">
        <f t="shared" si="0"/>
        <v>Not Done</v>
      </c>
    </row>
    <row r="27" spans="1:7" x14ac:dyDescent="0.25">
      <c r="A27" s="6" t="s">
        <v>44</v>
      </c>
      <c r="B27" s="6" t="s">
        <v>38</v>
      </c>
      <c r="C27" s="6">
        <v>0.99</v>
      </c>
      <c r="D27" s="6"/>
      <c r="E27" s="6">
        <v>1.01</v>
      </c>
      <c r="F27" s="6" t="s">
        <v>37</v>
      </c>
      <c r="G27" s="6" t="str">
        <f t="shared" si="0"/>
        <v>Not Done</v>
      </c>
    </row>
    <row r="28" spans="1:7" x14ac:dyDescent="0.25">
      <c r="A28" s="6" t="s">
        <v>44</v>
      </c>
      <c r="B28" s="6" t="s">
        <v>39</v>
      </c>
      <c r="C28" s="6">
        <v>0.99</v>
      </c>
      <c r="D28" s="6"/>
      <c r="E28" s="6">
        <v>1.01</v>
      </c>
      <c r="F28" s="6" t="s">
        <v>37</v>
      </c>
      <c r="G28" s="6" t="str">
        <f t="shared" si="0"/>
        <v>Not Done</v>
      </c>
    </row>
    <row r="29" spans="1:7" x14ac:dyDescent="0.25">
      <c r="A29" s="6" t="s">
        <v>45</v>
      </c>
      <c r="B29" s="6" t="s">
        <v>38</v>
      </c>
      <c r="C29" s="6">
        <v>246</v>
      </c>
      <c r="D29" s="6"/>
      <c r="E29" s="6">
        <v>254</v>
      </c>
      <c r="F29" s="6" t="s">
        <v>41</v>
      </c>
      <c r="G29" s="6" t="str">
        <f t="shared" si="0"/>
        <v>Not Done</v>
      </c>
    </row>
    <row r="30" spans="1:7" x14ac:dyDescent="0.25">
      <c r="A30" s="6" t="s">
        <v>46</v>
      </c>
      <c r="B30" s="6" t="s">
        <v>36</v>
      </c>
      <c r="C30" s="6">
        <v>49.5</v>
      </c>
      <c r="D30" s="6"/>
      <c r="E30" s="6">
        <v>50.5</v>
      </c>
      <c r="F30" s="6" t="s">
        <v>43</v>
      </c>
      <c r="G30" s="6" t="str">
        <f t="shared" si="0"/>
        <v>Not Done</v>
      </c>
    </row>
    <row r="31" spans="1:7" x14ac:dyDescent="0.25">
      <c r="A31" s="6" t="s">
        <v>46</v>
      </c>
      <c r="B31" s="6" t="s">
        <v>38</v>
      </c>
      <c r="C31" s="6">
        <v>49.5</v>
      </c>
      <c r="D31" s="6"/>
      <c r="E31" s="6">
        <v>50.5</v>
      </c>
      <c r="F31" s="6" t="s">
        <v>43</v>
      </c>
      <c r="G31" s="6" t="str">
        <f t="shared" si="0"/>
        <v>Not Done</v>
      </c>
    </row>
    <row r="32" spans="1:7" x14ac:dyDescent="0.25">
      <c r="A32" s="6" t="s">
        <v>47</v>
      </c>
      <c r="B32" s="6" t="s">
        <v>36</v>
      </c>
      <c r="C32" s="6">
        <v>0.99</v>
      </c>
      <c r="D32" s="6"/>
      <c r="E32" s="6">
        <v>1.01</v>
      </c>
      <c r="F32" s="6" t="s">
        <v>37</v>
      </c>
      <c r="G32" s="6" t="str">
        <f t="shared" si="0"/>
        <v>Not Done</v>
      </c>
    </row>
    <row r="33" spans="1:7" x14ac:dyDescent="0.25">
      <c r="A33" s="6" t="s">
        <v>47</v>
      </c>
      <c r="B33" s="6" t="s">
        <v>38</v>
      </c>
      <c r="C33" s="6">
        <v>0.99</v>
      </c>
      <c r="D33" s="6"/>
      <c r="E33" s="6">
        <v>1.01</v>
      </c>
      <c r="F33" s="6" t="s">
        <v>37</v>
      </c>
      <c r="G33" s="6" t="str">
        <f t="shared" si="0"/>
        <v>Not Done</v>
      </c>
    </row>
    <row r="34" spans="1:7" x14ac:dyDescent="0.25">
      <c r="A34" s="6" t="s">
        <v>47</v>
      </c>
      <c r="B34" s="6" t="s">
        <v>39</v>
      </c>
      <c r="C34" s="6">
        <v>0.99</v>
      </c>
      <c r="D34" s="6"/>
      <c r="E34" s="6">
        <v>1.01</v>
      </c>
      <c r="F34" s="6" t="s">
        <v>37</v>
      </c>
      <c r="G34" s="6" t="str">
        <f t="shared" si="0"/>
        <v>Not Done</v>
      </c>
    </row>
    <row r="35" spans="1:7" x14ac:dyDescent="0.25">
      <c r="A35" s="6" t="s">
        <v>48</v>
      </c>
      <c r="B35" s="6" t="s">
        <v>38</v>
      </c>
      <c r="C35" s="6">
        <v>246</v>
      </c>
      <c r="D35" s="6"/>
      <c r="E35" s="6">
        <v>254</v>
      </c>
      <c r="F35" s="6" t="s">
        <v>41</v>
      </c>
      <c r="G35" s="6" t="str">
        <f t="shared" si="0"/>
        <v>Not Done</v>
      </c>
    </row>
    <row r="36" spans="1:7" x14ac:dyDescent="0.25">
      <c r="A36" s="6" t="s">
        <v>49</v>
      </c>
      <c r="B36" s="6" t="s">
        <v>36</v>
      </c>
      <c r="C36" s="6">
        <v>49.5</v>
      </c>
      <c r="D36" s="6"/>
      <c r="E36" s="6">
        <v>50.5</v>
      </c>
      <c r="F36" s="6" t="s">
        <v>43</v>
      </c>
      <c r="G36" s="6" t="str">
        <f t="shared" si="0"/>
        <v>Not Done</v>
      </c>
    </row>
    <row r="37" spans="1:7" x14ac:dyDescent="0.25">
      <c r="A37" s="6" t="s">
        <v>49</v>
      </c>
      <c r="B37" s="6" t="s">
        <v>38</v>
      </c>
      <c r="C37" s="6">
        <v>49.5</v>
      </c>
      <c r="D37" s="6"/>
      <c r="E37" s="6">
        <v>50.5</v>
      </c>
      <c r="F37" s="6" t="s">
        <v>43</v>
      </c>
      <c r="G37" s="6" t="str">
        <f t="shared" si="0"/>
        <v>Not Done</v>
      </c>
    </row>
    <row r="38" spans="1:7" x14ac:dyDescent="0.25">
      <c r="A38" s="6" t="s">
        <v>50</v>
      </c>
      <c r="B38" s="6" t="s">
        <v>36</v>
      </c>
      <c r="C38" s="6">
        <v>0.99</v>
      </c>
      <c r="D38" s="6"/>
      <c r="E38" s="6">
        <v>1.01</v>
      </c>
      <c r="F38" s="6" t="s">
        <v>37</v>
      </c>
      <c r="G38" s="6" t="str">
        <f t="shared" si="0"/>
        <v>Not Done</v>
      </c>
    </row>
    <row r="39" spans="1:7" x14ac:dyDescent="0.25">
      <c r="A39" s="6" t="s">
        <v>50</v>
      </c>
      <c r="B39" s="6" t="s">
        <v>38</v>
      </c>
      <c r="C39" s="6">
        <v>0.99</v>
      </c>
      <c r="D39" s="6"/>
      <c r="E39" s="6">
        <v>1.01</v>
      </c>
      <c r="F39" s="6" t="s">
        <v>37</v>
      </c>
      <c r="G39" s="6" t="str">
        <f t="shared" si="0"/>
        <v>Not Done</v>
      </c>
    </row>
    <row r="40" spans="1:7" x14ac:dyDescent="0.25">
      <c r="A40" s="6" t="s">
        <v>50</v>
      </c>
      <c r="B40" s="6" t="s">
        <v>39</v>
      </c>
      <c r="C40" s="6">
        <v>0.99</v>
      </c>
      <c r="D40" s="6"/>
      <c r="E40" s="6">
        <v>1.01</v>
      </c>
      <c r="F40" s="6" t="s">
        <v>37</v>
      </c>
      <c r="G40" s="6" t="str">
        <f t="shared" si="0"/>
        <v>Not Done</v>
      </c>
    </row>
    <row r="41" spans="1:7" x14ac:dyDescent="0.25">
      <c r="A41" s="6" t="s">
        <v>51</v>
      </c>
      <c r="B41" s="6" t="s">
        <v>38</v>
      </c>
      <c r="C41" s="6">
        <v>246</v>
      </c>
      <c r="D41" s="6"/>
      <c r="E41" s="6">
        <v>254</v>
      </c>
      <c r="F41" s="6" t="s">
        <v>41</v>
      </c>
      <c r="G41" s="6" t="str">
        <f t="shared" si="0"/>
        <v>Not Done</v>
      </c>
    </row>
    <row r="42" spans="1:7" x14ac:dyDescent="0.25">
      <c r="A42" s="6" t="s">
        <v>52</v>
      </c>
      <c r="B42" s="6" t="s">
        <v>36</v>
      </c>
      <c r="C42" s="6">
        <v>49.5</v>
      </c>
      <c r="D42" s="6"/>
      <c r="E42" s="6">
        <v>50.5</v>
      </c>
      <c r="F42" s="6" t="s">
        <v>43</v>
      </c>
      <c r="G42" s="6" t="str">
        <f t="shared" si="0"/>
        <v>Not Done</v>
      </c>
    </row>
    <row r="43" spans="1:7" x14ac:dyDescent="0.25">
      <c r="A43" s="6" t="s">
        <v>52</v>
      </c>
      <c r="B43" s="6" t="s">
        <v>38</v>
      </c>
      <c r="C43" s="6">
        <v>49.5</v>
      </c>
      <c r="D43" s="6"/>
      <c r="E43" s="6">
        <v>50.5</v>
      </c>
      <c r="F43" s="6" t="s">
        <v>43</v>
      </c>
      <c r="G43" s="6" t="str">
        <f t="shared" si="0"/>
        <v>Not Done</v>
      </c>
    </row>
    <row r="45" spans="1:7" ht="15.75" x14ac:dyDescent="0.25">
      <c r="A45" s="4" t="s">
        <v>53</v>
      </c>
    </row>
    <row r="46" spans="1:7" x14ac:dyDescent="0.25">
      <c r="A46" s="5" t="s">
        <v>25</v>
      </c>
      <c r="B46" s="5" t="s">
        <v>30</v>
      </c>
      <c r="C46" s="5" t="s">
        <v>31</v>
      </c>
      <c r="D46" s="5" t="s">
        <v>32</v>
      </c>
      <c r="E46" s="5" t="s">
        <v>33</v>
      </c>
      <c r="F46" s="5" t="s">
        <v>34</v>
      </c>
      <c r="G46" s="5" t="s">
        <v>26</v>
      </c>
    </row>
    <row r="47" spans="1:7" x14ac:dyDescent="0.25">
      <c r="A47" s="6" t="s">
        <v>54</v>
      </c>
      <c r="B47" s="6" t="s">
        <v>55</v>
      </c>
      <c r="C47" s="6" t="s">
        <v>56</v>
      </c>
      <c r="D47" s="6"/>
      <c r="E47" s="6" t="s">
        <v>57</v>
      </c>
      <c r="F47" s="6" t="s">
        <v>58</v>
      </c>
      <c r="G47" s="6" t="str">
        <f t="shared" ref="G47:G78" si="1">IF(ISBLANK(D47),"Not Done",IF(AND(D47&lt;=E47,D47&gt;=C47),"Pass","Fail"))</f>
        <v>Not Done</v>
      </c>
    </row>
    <row r="48" spans="1:7" x14ac:dyDescent="0.25">
      <c r="A48" s="6" t="s">
        <v>54</v>
      </c>
      <c r="B48" s="6" t="s">
        <v>59</v>
      </c>
      <c r="C48" s="6" t="s">
        <v>60</v>
      </c>
      <c r="D48" s="6"/>
      <c r="E48" s="6" t="s">
        <v>61</v>
      </c>
      <c r="F48" s="6" t="s">
        <v>58</v>
      </c>
      <c r="G48" s="6" t="str">
        <f t="shared" si="1"/>
        <v>Not Done</v>
      </c>
    </row>
    <row r="49" spans="1:7" x14ac:dyDescent="0.25">
      <c r="A49" s="6" t="s">
        <v>54</v>
      </c>
      <c r="B49" s="6" t="s">
        <v>62</v>
      </c>
      <c r="C49" s="6" t="s">
        <v>63</v>
      </c>
      <c r="D49" s="6"/>
      <c r="E49" s="6" t="s">
        <v>64</v>
      </c>
      <c r="F49" s="6" t="s">
        <v>58</v>
      </c>
      <c r="G49" s="6" t="str">
        <f t="shared" si="1"/>
        <v>Not Done</v>
      </c>
    </row>
    <row r="50" spans="1:7" x14ac:dyDescent="0.25">
      <c r="A50" s="6" t="s">
        <v>54</v>
      </c>
      <c r="B50" s="6" t="s">
        <v>65</v>
      </c>
      <c r="C50" s="6" t="s">
        <v>66</v>
      </c>
      <c r="D50" s="6"/>
      <c r="E50" s="6" t="s">
        <v>67</v>
      </c>
      <c r="F50" s="6" t="s">
        <v>58</v>
      </c>
      <c r="G50" s="6" t="str">
        <f t="shared" si="1"/>
        <v>Not Done</v>
      </c>
    </row>
    <row r="51" spans="1:7" x14ac:dyDescent="0.25">
      <c r="A51" s="6" t="s">
        <v>54</v>
      </c>
      <c r="B51" s="6" t="s">
        <v>68</v>
      </c>
      <c r="C51" s="6" t="s">
        <v>69</v>
      </c>
      <c r="D51" s="6"/>
      <c r="E51" s="6" t="s">
        <v>70</v>
      </c>
      <c r="F51" s="6" t="s">
        <v>58</v>
      </c>
      <c r="G51" s="6" t="str">
        <f t="shared" si="1"/>
        <v>Not Done</v>
      </c>
    </row>
    <row r="52" spans="1:7" x14ac:dyDescent="0.25">
      <c r="A52" s="6" t="s">
        <v>54</v>
      </c>
      <c r="B52" s="6" t="s">
        <v>71</v>
      </c>
      <c r="C52" s="6" t="s">
        <v>72</v>
      </c>
      <c r="D52" s="6"/>
      <c r="E52" s="6" t="s">
        <v>73</v>
      </c>
      <c r="F52" s="6" t="s">
        <v>58</v>
      </c>
      <c r="G52" s="6" t="str">
        <f t="shared" si="1"/>
        <v>Not Done</v>
      </c>
    </row>
    <row r="53" spans="1:7" x14ac:dyDescent="0.25">
      <c r="A53" s="6" t="s">
        <v>54</v>
      </c>
      <c r="B53" s="6" t="s">
        <v>74</v>
      </c>
      <c r="C53" s="6" t="s">
        <v>75</v>
      </c>
      <c r="D53" s="6"/>
      <c r="E53" s="6" t="s">
        <v>76</v>
      </c>
      <c r="F53" s="6" t="s">
        <v>58</v>
      </c>
      <c r="G53" s="6" t="str">
        <f t="shared" si="1"/>
        <v>Not Done</v>
      </c>
    </row>
    <row r="54" spans="1:7" x14ac:dyDescent="0.25">
      <c r="A54" s="6" t="s">
        <v>54</v>
      </c>
      <c r="B54" s="6" t="s">
        <v>77</v>
      </c>
      <c r="C54" s="6" t="s">
        <v>78</v>
      </c>
      <c r="D54" s="6"/>
      <c r="E54" s="6" t="s">
        <v>79</v>
      </c>
      <c r="F54" s="6" t="s">
        <v>58</v>
      </c>
      <c r="G54" s="6" t="str">
        <f t="shared" si="1"/>
        <v>Not Done</v>
      </c>
    </row>
    <row r="55" spans="1:7" x14ac:dyDescent="0.25">
      <c r="A55" s="6" t="s">
        <v>54</v>
      </c>
      <c r="B55" s="6" t="s">
        <v>80</v>
      </c>
      <c r="C55" s="6" t="s">
        <v>81</v>
      </c>
      <c r="D55" s="6"/>
      <c r="E55" s="6" t="s">
        <v>82</v>
      </c>
      <c r="F55" s="6" t="s">
        <v>83</v>
      </c>
      <c r="G55" s="6" t="str">
        <f t="shared" si="1"/>
        <v>Not Done</v>
      </c>
    </row>
    <row r="56" spans="1:7" x14ac:dyDescent="0.25">
      <c r="A56" s="6" t="s">
        <v>84</v>
      </c>
      <c r="B56" s="6" t="s">
        <v>68</v>
      </c>
      <c r="C56" s="6" t="s">
        <v>85</v>
      </c>
      <c r="D56" s="6"/>
      <c r="E56" s="6" t="s">
        <v>86</v>
      </c>
      <c r="F56" s="6" t="s">
        <v>58</v>
      </c>
      <c r="G56" s="6" t="str">
        <f t="shared" si="1"/>
        <v>Not Done</v>
      </c>
    </row>
    <row r="57" spans="1:7" x14ac:dyDescent="0.25">
      <c r="A57" s="6" t="s">
        <v>87</v>
      </c>
      <c r="B57" s="6" t="s">
        <v>68</v>
      </c>
      <c r="C57" s="6" t="s">
        <v>88</v>
      </c>
      <c r="D57" s="6"/>
      <c r="E57" s="6" t="s">
        <v>89</v>
      </c>
      <c r="F57" s="6" t="s">
        <v>58</v>
      </c>
      <c r="G57" s="6" t="str">
        <f t="shared" si="1"/>
        <v>Not Done</v>
      </c>
    </row>
    <row r="58" spans="1:7" x14ac:dyDescent="0.25">
      <c r="A58" s="6" t="s">
        <v>90</v>
      </c>
      <c r="B58" s="6" t="s">
        <v>55</v>
      </c>
      <c r="C58" s="6" t="s">
        <v>56</v>
      </c>
      <c r="D58" s="6"/>
      <c r="E58" s="6" t="s">
        <v>57</v>
      </c>
      <c r="F58" s="6" t="s">
        <v>58</v>
      </c>
      <c r="G58" s="6" t="str">
        <f t="shared" si="1"/>
        <v>Not Done</v>
      </c>
    </row>
    <row r="59" spans="1:7" x14ac:dyDescent="0.25">
      <c r="A59" s="6" t="s">
        <v>90</v>
      </c>
      <c r="B59" s="6" t="s">
        <v>59</v>
      </c>
      <c r="C59" s="6" t="s">
        <v>56</v>
      </c>
      <c r="D59" s="6"/>
      <c r="E59" s="6" t="s">
        <v>57</v>
      </c>
      <c r="F59" s="6" t="s">
        <v>58</v>
      </c>
      <c r="G59" s="6" t="str">
        <f t="shared" si="1"/>
        <v>Not Done</v>
      </c>
    </row>
    <row r="60" spans="1:7" x14ac:dyDescent="0.25">
      <c r="A60" s="6" t="s">
        <v>90</v>
      </c>
      <c r="B60" s="6" t="s">
        <v>62</v>
      </c>
      <c r="C60" s="6" t="s">
        <v>91</v>
      </c>
      <c r="D60" s="6"/>
      <c r="E60" s="6" t="s">
        <v>92</v>
      </c>
      <c r="F60" s="6" t="s">
        <v>58</v>
      </c>
      <c r="G60" s="6" t="str">
        <f t="shared" si="1"/>
        <v>Not Done</v>
      </c>
    </row>
    <row r="61" spans="1:7" x14ac:dyDescent="0.25">
      <c r="A61" s="6" t="s">
        <v>90</v>
      </c>
      <c r="B61" s="6" t="s">
        <v>65</v>
      </c>
      <c r="C61" s="6" t="s">
        <v>63</v>
      </c>
      <c r="D61" s="6"/>
      <c r="E61" s="6" t="s">
        <v>64</v>
      </c>
      <c r="F61" s="6" t="s">
        <v>58</v>
      </c>
      <c r="G61" s="6" t="str">
        <f t="shared" si="1"/>
        <v>Not Done</v>
      </c>
    </row>
    <row r="62" spans="1:7" x14ac:dyDescent="0.25">
      <c r="A62" s="6" t="s">
        <v>90</v>
      </c>
      <c r="B62" s="6" t="s">
        <v>68</v>
      </c>
      <c r="C62" s="6" t="s">
        <v>66</v>
      </c>
      <c r="D62" s="6"/>
      <c r="E62" s="6" t="s">
        <v>67</v>
      </c>
      <c r="F62" s="6" t="s">
        <v>58</v>
      </c>
      <c r="G62" s="6" t="str">
        <f t="shared" si="1"/>
        <v>Not Done</v>
      </c>
    </row>
    <row r="63" spans="1:7" x14ac:dyDescent="0.25">
      <c r="A63" s="6" t="s">
        <v>90</v>
      </c>
      <c r="B63" s="6" t="s">
        <v>93</v>
      </c>
      <c r="C63" s="6" t="s">
        <v>94</v>
      </c>
      <c r="D63" s="6"/>
      <c r="E63" s="6" t="s">
        <v>95</v>
      </c>
      <c r="F63" s="6" t="s">
        <v>58</v>
      </c>
      <c r="G63" s="6" t="str">
        <f t="shared" si="1"/>
        <v>Not Done</v>
      </c>
    </row>
    <row r="64" spans="1:7" x14ac:dyDescent="0.25">
      <c r="A64" s="6" t="s">
        <v>90</v>
      </c>
      <c r="B64" s="6" t="s">
        <v>71</v>
      </c>
      <c r="C64" s="6" t="s">
        <v>96</v>
      </c>
      <c r="D64" s="6"/>
      <c r="E64" s="6" t="s">
        <v>97</v>
      </c>
      <c r="F64" s="6" t="s">
        <v>58</v>
      </c>
      <c r="G64" s="6" t="str">
        <f t="shared" si="1"/>
        <v>Not Done</v>
      </c>
    </row>
    <row r="65" spans="1:7" x14ac:dyDescent="0.25">
      <c r="A65" s="6" t="s">
        <v>90</v>
      </c>
      <c r="B65" s="6" t="s">
        <v>98</v>
      </c>
      <c r="C65" s="6" t="s">
        <v>72</v>
      </c>
      <c r="D65" s="6"/>
      <c r="E65" s="6" t="s">
        <v>73</v>
      </c>
      <c r="F65" s="6" t="s">
        <v>58</v>
      </c>
      <c r="G65" s="6" t="str">
        <f t="shared" si="1"/>
        <v>Not Done</v>
      </c>
    </row>
    <row r="66" spans="1:7" x14ac:dyDescent="0.25">
      <c r="A66" s="6" t="s">
        <v>90</v>
      </c>
      <c r="B66" s="6" t="s">
        <v>74</v>
      </c>
      <c r="C66" s="6" t="s">
        <v>99</v>
      </c>
      <c r="D66" s="6"/>
      <c r="E66" s="6" t="s">
        <v>100</v>
      </c>
      <c r="F66" s="6" t="s">
        <v>58</v>
      </c>
      <c r="G66" s="6" t="str">
        <f t="shared" si="1"/>
        <v>Not Done</v>
      </c>
    </row>
    <row r="67" spans="1:7" x14ac:dyDescent="0.25">
      <c r="A67" s="6" t="s">
        <v>90</v>
      </c>
      <c r="B67" s="6" t="s">
        <v>77</v>
      </c>
      <c r="C67" s="6" t="s">
        <v>101</v>
      </c>
      <c r="D67" s="6"/>
      <c r="E67" s="6" t="s">
        <v>102</v>
      </c>
      <c r="F67" s="6" t="s">
        <v>58</v>
      </c>
      <c r="G67" s="6" t="str">
        <f t="shared" si="1"/>
        <v>Not Done</v>
      </c>
    </row>
    <row r="68" spans="1:7" x14ac:dyDescent="0.25">
      <c r="A68" s="6" t="s">
        <v>103</v>
      </c>
      <c r="B68" s="6" t="s">
        <v>68</v>
      </c>
      <c r="C68" s="6" t="s">
        <v>85</v>
      </c>
      <c r="D68" s="6"/>
      <c r="E68" s="6" t="s">
        <v>86</v>
      </c>
      <c r="F68" s="6" t="s">
        <v>58</v>
      </c>
      <c r="G68" s="6" t="str">
        <f t="shared" si="1"/>
        <v>Not Done</v>
      </c>
    </row>
    <row r="69" spans="1:7" x14ac:dyDescent="0.25">
      <c r="A69" s="6" t="s">
        <v>104</v>
      </c>
      <c r="B69" s="6" t="s">
        <v>68</v>
      </c>
      <c r="C69" s="6" t="s">
        <v>88</v>
      </c>
      <c r="D69" s="6"/>
      <c r="E69" s="6" t="s">
        <v>89</v>
      </c>
      <c r="F69" s="6" t="s">
        <v>58</v>
      </c>
      <c r="G69" s="6" t="str">
        <f t="shared" si="1"/>
        <v>Not Done</v>
      </c>
    </row>
    <row r="70" spans="1:7" x14ac:dyDescent="0.25">
      <c r="A70" s="6" t="s">
        <v>105</v>
      </c>
      <c r="B70" s="6" t="s">
        <v>55</v>
      </c>
      <c r="C70" s="6" t="s">
        <v>56</v>
      </c>
      <c r="D70" s="6"/>
      <c r="E70" s="6" t="s">
        <v>57</v>
      </c>
      <c r="F70" s="6" t="s">
        <v>58</v>
      </c>
      <c r="G70" s="6" t="str">
        <f t="shared" si="1"/>
        <v>Not Done</v>
      </c>
    </row>
    <row r="71" spans="1:7" x14ac:dyDescent="0.25">
      <c r="A71" s="6" t="s">
        <v>105</v>
      </c>
      <c r="B71" s="6" t="s">
        <v>59</v>
      </c>
      <c r="C71" s="6" t="s">
        <v>60</v>
      </c>
      <c r="D71" s="6"/>
      <c r="E71" s="6" t="s">
        <v>61</v>
      </c>
      <c r="F71" s="6" t="s">
        <v>58</v>
      </c>
      <c r="G71" s="6" t="str">
        <f t="shared" si="1"/>
        <v>Not Done</v>
      </c>
    </row>
    <row r="72" spans="1:7" x14ac:dyDescent="0.25">
      <c r="A72" s="6" t="s">
        <v>105</v>
      </c>
      <c r="B72" s="6" t="s">
        <v>62</v>
      </c>
      <c r="C72" s="6" t="s">
        <v>63</v>
      </c>
      <c r="D72" s="6"/>
      <c r="E72" s="6" t="s">
        <v>92</v>
      </c>
      <c r="F72" s="6" t="s">
        <v>58</v>
      </c>
      <c r="G72" s="6" t="str">
        <f t="shared" si="1"/>
        <v>Not Done</v>
      </c>
    </row>
    <row r="73" spans="1:7" x14ac:dyDescent="0.25">
      <c r="A73" s="6" t="s">
        <v>105</v>
      </c>
      <c r="B73" s="6" t="s">
        <v>65</v>
      </c>
      <c r="C73" s="6" t="s">
        <v>66</v>
      </c>
      <c r="D73" s="6"/>
      <c r="E73" s="6" t="s">
        <v>64</v>
      </c>
      <c r="F73" s="6" t="s">
        <v>58</v>
      </c>
      <c r="G73" s="6" t="str">
        <f t="shared" si="1"/>
        <v>Not Done</v>
      </c>
    </row>
    <row r="74" spans="1:7" x14ac:dyDescent="0.25">
      <c r="A74" s="6" t="s">
        <v>105</v>
      </c>
      <c r="B74" s="6" t="s">
        <v>68</v>
      </c>
      <c r="C74" s="6" t="s">
        <v>69</v>
      </c>
      <c r="D74" s="6"/>
      <c r="E74" s="6" t="s">
        <v>67</v>
      </c>
      <c r="F74" s="6" t="s">
        <v>58</v>
      </c>
      <c r="G74" s="6" t="str">
        <f t="shared" si="1"/>
        <v>Not Done</v>
      </c>
    </row>
    <row r="75" spans="1:7" x14ac:dyDescent="0.25">
      <c r="A75" s="6" t="s">
        <v>105</v>
      </c>
      <c r="B75" s="6" t="s">
        <v>71</v>
      </c>
      <c r="C75" s="6" t="s">
        <v>72</v>
      </c>
      <c r="D75" s="6"/>
      <c r="E75" s="6" t="s">
        <v>97</v>
      </c>
      <c r="F75" s="6" t="s">
        <v>58</v>
      </c>
      <c r="G75" s="6" t="str">
        <f t="shared" si="1"/>
        <v>Not Done</v>
      </c>
    </row>
    <row r="76" spans="1:7" x14ac:dyDescent="0.25">
      <c r="A76" s="6" t="s">
        <v>105</v>
      </c>
      <c r="B76" s="6" t="s">
        <v>74</v>
      </c>
      <c r="C76" s="6" t="s">
        <v>75</v>
      </c>
      <c r="D76" s="6"/>
      <c r="E76" s="6" t="s">
        <v>100</v>
      </c>
      <c r="F76" s="6" t="s">
        <v>58</v>
      </c>
      <c r="G76" s="6" t="str">
        <f t="shared" si="1"/>
        <v>Not Done</v>
      </c>
    </row>
    <row r="77" spans="1:7" x14ac:dyDescent="0.25">
      <c r="A77" s="6" t="s">
        <v>105</v>
      </c>
      <c r="B77" s="6" t="s">
        <v>77</v>
      </c>
      <c r="C77" s="6" t="s">
        <v>78</v>
      </c>
      <c r="D77" s="6"/>
      <c r="E77" s="6" t="s">
        <v>102</v>
      </c>
      <c r="F77" s="6" t="s">
        <v>58</v>
      </c>
      <c r="G77" s="6" t="str">
        <f t="shared" si="1"/>
        <v>Not Done</v>
      </c>
    </row>
    <row r="78" spans="1:7" x14ac:dyDescent="0.25">
      <c r="A78" s="6" t="s">
        <v>105</v>
      </c>
      <c r="B78" s="6" t="s">
        <v>80</v>
      </c>
      <c r="C78" s="6" t="s">
        <v>106</v>
      </c>
      <c r="D78" s="6"/>
      <c r="E78" s="6" t="s">
        <v>107</v>
      </c>
      <c r="F78" s="6" t="s">
        <v>83</v>
      </c>
      <c r="G78" s="6" t="str">
        <f t="shared" si="1"/>
        <v>Not Done</v>
      </c>
    </row>
    <row r="79" spans="1:7" x14ac:dyDescent="0.25">
      <c r="A79" s="6" t="s">
        <v>108</v>
      </c>
      <c r="B79" s="6" t="s">
        <v>68</v>
      </c>
      <c r="C79" s="6" t="s">
        <v>85</v>
      </c>
      <c r="D79" s="6"/>
      <c r="E79" s="6" t="s">
        <v>86</v>
      </c>
      <c r="F79" s="6" t="s">
        <v>58</v>
      </c>
      <c r="G79" s="6" t="str">
        <f t="shared" ref="G79:G110" si="2">IF(ISBLANK(D79),"Not Done",IF(AND(D79&lt;=E79,D79&gt;=C79),"Pass","Fail"))</f>
        <v>Not Done</v>
      </c>
    </row>
    <row r="80" spans="1:7" x14ac:dyDescent="0.25">
      <c r="A80" s="6" t="s">
        <v>109</v>
      </c>
      <c r="B80" s="6" t="s">
        <v>68</v>
      </c>
      <c r="C80" s="6" t="s">
        <v>88</v>
      </c>
      <c r="D80" s="6"/>
      <c r="E80" s="6" t="s">
        <v>89</v>
      </c>
      <c r="F80" s="6" t="s">
        <v>58</v>
      </c>
      <c r="G80" s="6" t="str">
        <f t="shared" si="2"/>
        <v>Not Done</v>
      </c>
    </row>
    <row r="81" spans="1:7" x14ac:dyDescent="0.25">
      <c r="A81" s="6" t="s">
        <v>110</v>
      </c>
      <c r="B81" s="6" t="s">
        <v>55</v>
      </c>
      <c r="C81" s="6" t="s">
        <v>56</v>
      </c>
      <c r="D81" s="6"/>
      <c r="E81" s="6" t="s">
        <v>57</v>
      </c>
      <c r="F81" s="6" t="s">
        <v>58</v>
      </c>
      <c r="G81" s="6" t="str">
        <f t="shared" si="2"/>
        <v>Not Done</v>
      </c>
    </row>
    <row r="82" spans="1:7" x14ac:dyDescent="0.25">
      <c r="A82" s="6" t="s">
        <v>110</v>
      </c>
      <c r="B82" s="6" t="s">
        <v>59</v>
      </c>
      <c r="C82" s="6" t="s">
        <v>56</v>
      </c>
      <c r="D82" s="6"/>
      <c r="E82" s="6" t="s">
        <v>57</v>
      </c>
      <c r="F82" s="6" t="s">
        <v>58</v>
      </c>
      <c r="G82" s="6" t="str">
        <f t="shared" si="2"/>
        <v>Not Done</v>
      </c>
    </row>
    <row r="83" spans="1:7" x14ac:dyDescent="0.25">
      <c r="A83" s="6" t="s">
        <v>110</v>
      </c>
      <c r="B83" s="6" t="s">
        <v>62</v>
      </c>
      <c r="C83" s="6" t="s">
        <v>91</v>
      </c>
      <c r="D83" s="6"/>
      <c r="E83" s="6" t="s">
        <v>92</v>
      </c>
      <c r="F83" s="6" t="s">
        <v>58</v>
      </c>
      <c r="G83" s="6" t="str">
        <f t="shared" si="2"/>
        <v>Not Done</v>
      </c>
    </row>
    <row r="84" spans="1:7" x14ac:dyDescent="0.25">
      <c r="A84" s="6" t="s">
        <v>110</v>
      </c>
      <c r="B84" s="6" t="s">
        <v>65</v>
      </c>
      <c r="C84" s="6" t="s">
        <v>63</v>
      </c>
      <c r="D84" s="6"/>
      <c r="E84" s="6" t="s">
        <v>64</v>
      </c>
      <c r="F84" s="6" t="s">
        <v>58</v>
      </c>
      <c r="G84" s="6" t="str">
        <f t="shared" si="2"/>
        <v>Not Done</v>
      </c>
    </row>
    <row r="85" spans="1:7" x14ac:dyDescent="0.25">
      <c r="A85" s="6" t="s">
        <v>110</v>
      </c>
      <c r="B85" s="6" t="s">
        <v>68</v>
      </c>
      <c r="C85" s="6" t="s">
        <v>66</v>
      </c>
      <c r="D85" s="6"/>
      <c r="E85" s="6" t="s">
        <v>67</v>
      </c>
      <c r="F85" s="6" t="s">
        <v>58</v>
      </c>
      <c r="G85" s="6" t="str">
        <f t="shared" si="2"/>
        <v>Not Done</v>
      </c>
    </row>
    <row r="86" spans="1:7" x14ac:dyDescent="0.25">
      <c r="A86" s="6" t="s">
        <v>110</v>
      </c>
      <c r="B86" s="6" t="s">
        <v>93</v>
      </c>
      <c r="C86" s="6" t="s">
        <v>94</v>
      </c>
      <c r="D86" s="6"/>
      <c r="E86" s="6" t="s">
        <v>95</v>
      </c>
      <c r="F86" s="6" t="s">
        <v>58</v>
      </c>
      <c r="G86" s="6" t="str">
        <f t="shared" si="2"/>
        <v>Not Done</v>
      </c>
    </row>
    <row r="87" spans="1:7" x14ac:dyDescent="0.25">
      <c r="A87" s="6" t="s">
        <v>110</v>
      </c>
      <c r="B87" s="6" t="s">
        <v>71</v>
      </c>
      <c r="C87" s="6" t="s">
        <v>96</v>
      </c>
      <c r="D87" s="6"/>
      <c r="E87" s="6" t="s">
        <v>97</v>
      </c>
      <c r="F87" s="6" t="s">
        <v>58</v>
      </c>
      <c r="G87" s="6" t="str">
        <f t="shared" si="2"/>
        <v>Not Done</v>
      </c>
    </row>
    <row r="88" spans="1:7" x14ac:dyDescent="0.25">
      <c r="A88" s="6" t="s">
        <v>110</v>
      </c>
      <c r="B88" s="6" t="s">
        <v>98</v>
      </c>
      <c r="C88" s="6" t="s">
        <v>72</v>
      </c>
      <c r="D88" s="6"/>
      <c r="E88" s="6" t="s">
        <v>73</v>
      </c>
      <c r="F88" s="6" t="s">
        <v>58</v>
      </c>
      <c r="G88" s="6" t="str">
        <f t="shared" si="2"/>
        <v>Not Done</v>
      </c>
    </row>
    <row r="89" spans="1:7" x14ac:dyDescent="0.25">
      <c r="A89" s="6" t="s">
        <v>110</v>
      </c>
      <c r="B89" s="6" t="s">
        <v>74</v>
      </c>
      <c r="C89" s="6" t="s">
        <v>99</v>
      </c>
      <c r="D89" s="6"/>
      <c r="E89" s="6" t="s">
        <v>100</v>
      </c>
      <c r="F89" s="6" t="s">
        <v>58</v>
      </c>
      <c r="G89" s="6" t="str">
        <f t="shared" si="2"/>
        <v>Not Done</v>
      </c>
    </row>
    <row r="90" spans="1:7" x14ac:dyDescent="0.25">
      <c r="A90" s="6" t="s">
        <v>110</v>
      </c>
      <c r="B90" s="6" t="s">
        <v>77</v>
      </c>
      <c r="C90" s="6" t="s">
        <v>101</v>
      </c>
      <c r="D90" s="6"/>
      <c r="E90" s="6" t="s">
        <v>102</v>
      </c>
      <c r="F90" s="6" t="s">
        <v>58</v>
      </c>
      <c r="G90" s="6" t="str">
        <f t="shared" si="2"/>
        <v>Not Done</v>
      </c>
    </row>
    <row r="91" spans="1:7" x14ac:dyDescent="0.25">
      <c r="A91" s="6" t="s">
        <v>111</v>
      </c>
      <c r="B91" s="6" t="s">
        <v>68</v>
      </c>
      <c r="C91" s="6" t="s">
        <v>85</v>
      </c>
      <c r="D91" s="6"/>
      <c r="E91" s="6" t="s">
        <v>86</v>
      </c>
      <c r="F91" s="6" t="s">
        <v>58</v>
      </c>
      <c r="G91" s="6" t="str">
        <f t="shared" si="2"/>
        <v>Not Done</v>
      </c>
    </row>
    <row r="92" spans="1:7" x14ac:dyDescent="0.25">
      <c r="A92" s="6" t="s">
        <v>112</v>
      </c>
      <c r="B92" s="6" t="s">
        <v>68</v>
      </c>
      <c r="C92" s="6" t="s">
        <v>88</v>
      </c>
      <c r="D92" s="6"/>
      <c r="E92" s="6" t="s">
        <v>89</v>
      </c>
      <c r="F92" s="6" t="s">
        <v>58</v>
      </c>
      <c r="G92" s="6" t="str">
        <f t="shared" si="2"/>
        <v>Not Done</v>
      </c>
    </row>
    <row r="93" spans="1:7" x14ac:dyDescent="0.25">
      <c r="A93" s="6" t="s">
        <v>113</v>
      </c>
      <c r="B93" s="6" t="s">
        <v>55</v>
      </c>
      <c r="C93" s="6" t="s">
        <v>56</v>
      </c>
      <c r="D93" s="6"/>
      <c r="E93" s="6" t="s">
        <v>57</v>
      </c>
      <c r="F93" s="6" t="s">
        <v>58</v>
      </c>
      <c r="G93" s="6" t="str">
        <f t="shared" si="2"/>
        <v>Not Done</v>
      </c>
    </row>
    <row r="94" spans="1:7" x14ac:dyDescent="0.25">
      <c r="A94" s="6" t="s">
        <v>113</v>
      </c>
      <c r="B94" s="6" t="s">
        <v>59</v>
      </c>
      <c r="C94" s="6" t="s">
        <v>60</v>
      </c>
      <c r="D94" s="6"/>
      <c r="E94" s="6" t="s">
        <v>61</v>
      </c>
      <c r="F94" s="6" t="s">
        <v>58</v>
      </c>
      <c r="G94" s="6" t="str">
        <f t="shared" si="2"/>
        <v>Not Done</v>
      </c>
    </row>
    <row r="95" spans="1:7" x14ac:dyDescent="0.25">
      <c r="A95" s="6" t="s">
        <v>113</v>
      </c>
      <c r="B95" s="6" t="s">
        <v>62</v>
      </c>
      <c r="C95" s="6" t="s">
        <v>63</v>
      </c>
      <c r="D95" s="6"/>
      <c r="E95" s="6" t="s">
        <v>64</v>
      </c>
      <c r="F95" s="6" t="s">
        <v>58</v>
      </c>
      <c r="G95" s="6" t="str">
        <f t="shared" si="2"/>
        <v>Not Done</v>
      </c>
    </row>
    <row r="96" spans="1:7" x14ac:dyDescent="0.25">
      <c r="A96" s="6" t="s">
        <v>113</v>
      </c>
      <c r="B96" s="6" t="s">
        <v>65</v>
      </c>
      <c r="C96" s="6" t="s">
        <v>66</v>
      </c>
      <c r="D96" s="6"/>
      <c r="E96" s="6" t="s">
        <v>67</v>
      </c>
      <c r="F96" s="6" t="s">
        <v>58</v>
      </c>
      <c r="G96" s="6" t="str">
        <f t="shared" si="2"/>
        <v>Not Done</v>
      </c>
    </row>
    <row r="97" spans="1:7" x14ac:dyDescent="0.25">
      <c r="A97" s="6" t="s">
        <v>113</v>
      </c>
      <c r="B97" s="6" t="s">
        <v>68</v>
      </c>
      <c r="C97" s="6" t="s">
        <v>69</v>
      </c>
      <c r="D97" s="6"/>
      <c r="E97" s="6" t="s">
        <v>70</v>
      </c>
      <c r="F97" s="6" t="s">
        <v>58</v>
      </c>
      <c r="G97" s="6" t="str">
        <f t="shared" si="2"/>
        <v>Not Done</v>
      </c>
    </row>
    <row r="98" spans="1:7" x14ac:dyDescent="0.25">
      <c r="A98" s="6" t="s">
        <v>113</v>
      </c>
      <c r="B98" s="6" t="s">
        <v>71</v>
      </c>
      <c r="C98" s="6" t="s">
        <v>72</v>
      </c>
      <c r="D98" s="6"/>
      <c r="E98" s="6" t="s">
        <v>73</v>
      </c>
      <c r="F98" s="6" t="s">
        <v>58</v>
      </c>
      <c r="G98" s="6" t="str">
        <f t="shared" si="2"/>
        <v>Not Done</v>
      </c>
    </row>
    <row r="99" spans="1:7" x14ac:dyDescent="0.25">
      <c r="A99" s="6" t="s">
        <v>113</v>
      </c>
      <c r="B99" s="6" t="s">
        <v>74</v>
      </c>
      <c r="C99" s="6" t="s">
        <v>75</v>
      </c>
      <c r="D99" s="6"/>
      <c r="E99" s="6" t="s">
        <v>76</v>
      </c>
      <c r="F99" s="6" t="s">
        <v>58</v>
      </c>
      <c r="G99" s="6" t="str">
        <f t="shared" si="2"/>
        <v>Not Done</v>
      </c>
    </row>
    <row r="100" spans="1:7" x14ac:dyDescent="0.25">
      <c r="A100" s="6" t="s">
        <v>113</v>
      </c>
      <c r="B100" s="6" t="s">
        <v>77</v>
      </c>
      <c r="C100" s="6" t="s">
        <v>78</v>
      </c>
      <c r="D100" s="6"/>
      <c r="E100" s="6" t="s">
        <v>79</v>
      </c>
      <c r="F100" s="6" t="s">
        <v>58</v>
      </c>
      <c r="G100" s="6" t="str">
        <f t="shared" si="2"/>
        <v>Not Done</v>
      </c>
    </row>
    <row r="101" spans="1:7" x14ac:dyDescent="0.25">
      <c r="A101" s="6" t="s">
        <v>113</v>
      </c>
      <c r="B101" s="6" t="s">
        <v>80</v>
      </c>
      <c r="C101" s="6" t="s">
        <v>106</v>
      </c>
      <c r="D101" s="6"/>
      <c r="E101" s="6" t="s">
        <v>107</v>
      </c>
      <c r="F101" s="6" t="s">
        <v>83</v>
      </c>
      <c r="G101" s="6" t="str">
        <f t="shared" si="2"/>
        <v>Not Done</v>
      </c>
    </row>
    <row r="102" spans="1:7" x14ac:dyDescent="0.25">
      <c r="A102" s="6" t="s">
        <v>114</v>
      </c>
      <c r="B102" s="6" t="s">
        <v>68</v>
      </c>
      <c r="C102" s="6" t="s">
        <v>85</v>
      </c>
      <c r="D102" s="6"/>
      <c r="E102" s="6" t="s">
        <v>86</v>
      </c>
      <c r="F102" s="6" t="s">
        <v>58</v>
      </c>
      <c r="G102" s="6" t="str">
        <f t="shared" si="2"/>
        <v>Not Done</v>
      </c>
    </row>
    <row r="103" spans="1:7" x14ac:dyDescent="0.25">
      <c r="A103" s="6" t="s">
        <v>115</v>
      </c>
      <c r="B103" s="6" t="s">
        <v>68</v>
      </c>
      <c r="C103" s="6" t="s">
        <v>88</v>
      </c>
      <c r="D103" s="6"/>
      <c r="E103" s="6" t="s">
        <v>89</v>
      </c>
      <c r="F103" s="6" t="s">
        <v>58</v>
      </c>
      <c r="G103" s="6" t="str">
        <f t="shared" si="2"/>
        <v>Not Done</v>
      </c>
    </row>
    <row r="104" spans="1:7" x14ac:dyDescent="0.25">
      <c r="A104" s="6" t="s">
        <v>116</v>
      </c>
      <c r="B104" s="6" t="s">
        <v>55</v>
      </c>
      <c r="C104" s="6" t="s">
        <v>56</v>
      </c>
      <c r="D104" s="6"/>
      <c r="E104" s="6" t="s">
        <v>57</v>
      </c>
      <c r="F104" s="6" t="s">
        <v>58</v>
      </c>
      <c r="G104" s="6" t="str">
        <f t="shared" si="2"/>
        <v>Not Done</v>
      </c>
    </row>
    <row r="105" spans="1:7" x14ac:dyDescent="0.25">
      <c r="A105" s="6" t="s">
        <v>116</v>
      </c>
      <c r="B105" s="6" t="s">
        <v>59</v>
      </c>
      <c r="C105" s="6" t="s">
        <v>56</v>
      </c>
      <c r="D105" s="6"/>
      <c r="E105" s="6" t="s">
        <v>57</v>
      </c>
      <c r="F105" s="6" t="s">
        <v>58</v>
      </c>
      <c r="G105" s="6" t="str">
        <f t="shared" si="2"/>
        <v>Not Done</v>
      </c>
    </row>
    <row r="106" spans="1:7" x14ac:dyDescent="0.25">
      <c r="A106" s="6" t="s">
        <v>116</v>
      </c>
      <c r="B106" s="6" t="s">
        <v>62</v>
      </c>
      <c r="C106" s="6" t="s">
        <v>91</v>
      </c>
      <c r="D106" s="6"/>
      <c r="E106" s="6" t="s">
        <v>92</v>
      </c>
      <c r="F106" s="6" t="s">
        <v>58</v>
      </c>
      <c r="G106" s="6" t="str">
        <f t="shared" si="2"/>
        <v>Not Done</v>
      </c>
    </row>
    <row r="107" spans="1:7" x14ac:dyDescent="0.25">
      <c r="A107" s="6" t="s">
        <v>116</v>
      </c>
      <c r="B107" s="6" t="s">
        <v>65</v>
      </c>
      <c r="C107" s="6" t="s">
        <v>63</v>
      </c>
      <c r="D107" s="6"/>
      <c r="E107" s="6" t="s">
        <v>64</v>
      </c>
      <c r="F107" s="6" t="s">
        <v>58</v>
      </c>
      <c r="G107" s="6" t="str">
        <f t="shared" si="2"/>
        <v>Not Done</v>
      </c>
    </row>
    <row r="108" spans="1:7" x14ac:dyDescent="0.25">
      <c r="A108" s="6" t="s">
        <v>116</v>
      </c>
      <c r="B108" s="6" t="s">
        <v>68</v>
      </c>
      <c r="C108" s="6" t="s">
        <v>66</v>
      </c>
      <c r="D108" s="6"/>
      <c r="E108" s="6" t="s">
        <v>67</v>
      </c>
      <c r="F108" s="6" t="s">
        <v>58</v>
      </c>
      <c r="G108" s="6" t="str">
        <f t="shared" si="2"/>
        <v>Not Done</v>
      </c>
    </row>
    <row r="109" spans="1:7" x14ac:dyDescent="0.25">
      <c r="A109" s="6" t="s">
        <v>116</v>
      </c>
      <c r="B109" s="6" t="s">
        <v>93</v>
      </c>
      <c r="C109" s="6" t="s">
        <v>94</v>
      </c>
      <c r="D109" s="6"/>
      <c r="E109" s="6" t="s">
        <v>95</v>
      </c>
      <c r="F109" s="6" t="s">
        <v>58</v>
      </c>
      <c r="G109" s="6" t="str">
        <f t="shared" si="2"/>
        <v>Not Done</v>
      </c>
    </row>
    <row r="110" spans="1:7" x14ac:dyDescent="0.25">
      <c r="A110" s="6" t="s">
        <v>116</v>
      </c>
      <c r="B110" s="6" t="s">
        <v>71</v>
      </c>
      <c r="C110" s="6" t="s">
        <v>96</v>
      </c>
      <c r="D110" s="6"/>
      <c r="E110" s="6" t="s">
        <v>97</v>
      </c>
      <c r="F110" s="6" t="s">
        <v>58</v>
      </c>
      <c r="G110" s="6" t="str">
        <f t="shared" si="2"/>
        <v>Not Done</v>
      </c>
    </row>
    <row r="111" spans="1:7" x14ac:dyDescent="0.25">
      <c r="A111" s="6" t="s">
        <v>116</v>
      </c>
      <c r="B111" s="6" t="s">
        <v>98</v>
      </c>
      <c r="C111" s="6" t="s">
        <v>72</v>
      </c>
      <c r="D111" s="6"/>
      <c r="E111" s="6" t="s">
        <v>73</v>
      </c>
      <c r="F111" s="6" t="s">
        <v>58</v>
      </c>
      <c r="G111" s="6" t="str">
        <f t="shared" ref="G111:G138" si="3">IF(ISBLANK(D111),"Not Done",IF(AND(D111&lt;=E111,D111&gt;=C111),"Pass","Fail"))</f>
        <v>Not Done</v>
      </c>
    </row>
    <row r="112" spans="1:7" x14ac:dyDescent="0.25">
      <c r="A112" s="6" t="s">
        <v>116</v>
      </c>
      <c r="B112" s="6" t="s">
        <v>74</v>
      </c>
      <c r="C112" s="6" t="s">
        <v>99</v>
      </c>
      <c r="D112" s="6"/>
      <c r="E112" s="6" t="s">
        <v>100</v>
      </c>
      <c r="F112" s="6" t="s">
        <v>58</v>
      </c>
      <c r="G112" s="6" t="str">
        <f t="shared" si="3"/>
        <v>Not Done</v>
      </c>
    </row>
    <row r="113" spans="1:7" x14ac:dyDescent="0.25">
      <c r="A113" s="6" t="s">
        <v>116</v>
      </c>
      <c r="B113" s="6" t="s">
        <v>77</v>
      </c>
      <c r="C113" s="6" t="s">
        <v>101</v>
      </c>
      <c r="D113" s="6"/>
      <c r="E113" s="6" t="s">
        <v>102</v>
      </c>
      <c r="F113" s="6" t="s">
        <v>58</v>
      </c>
      <c r="G113" s="6" t="str">
        <f t="shared" si="3"/>
        <v>Not Done</v>
      </c>
    </row>
    <row r="114" spans="1:7" x14ac:dyDescent="0.25">
      <c r="A114" s="6" t="s">
        <v>117</v>
      </c>
      <c r="B114" s="6" t="s">
        <v>68</v>
      </c>
      <c r="C114" s="6" t="s">
        <v>85</v>
      </c>
      <c r="D114" s="6"/>
      <c r="E114" s="6" t="s">
        <v>86</v>
      </c>
      <c r="F114" s="6" t="s">
        <v>58</v>
      </c>
      <c r="G114" s="6" t="str">
        <f t="shared" si="3"/>
        <v>Not Done</v>
      </c>
    </row>
    <row r="115" spans="1:7" x14ac:dyDescent="0.25">
      <c r="A115" s="6" t="s">
        <v>118</v>
      </c>
      <c r="B115" s="6" t="s">
        <v>68</v>
      </c>
      <c r="C115" s="6" t="s">
        <v>88</v>
      </c>
      <c r="D115" s="6"/>
      <c r="E115" s="6" t="s">
        <v>89</v>
      </c>
      <c r="F115" s="6" t="s">
        <v>58</v>
      </c>
      <c r="G115" s="6" t="str">
        <f t="shared" si="3"/>
        <v>Not Done</v>
      </c>
    </row>
    <row r="116" spans="1:7" x14ac:dyDescent="0.25">
      <c r="A116" s="6" t="s">
        <v>119</v>
      </c>
      <c r="B116" s="6" t="s">
        <v>55</v>
      </c>
      <c r="C116" s="6" t="s">
        <v>56</v>
      </c>
      <c r="D116" s="6"/>
      <c r="E116" s="6" t="s">
        <v>57</v>
      </c>
      <c r="F116" s="6" t="s">
        <v>58</v>
      </c>
      <c r="G116" s="6" t="str">
        <f t="shared" si="3"/>
        <v>Not Done</v>
      </c>
    </row>
    <row r="117" spans="1:7" x14ac:dyDescent="0.25">
      <c r="A117" s="6" t="s">
        <v>119</v>
      </c>
      <c r="B117" s="6" t="s">
        <v>59</v>
      </c>
      <c r="C117" s="6" t="s">
        <v>60</v>
      </c>
      <c r="D117" s="6"/>
      <c r="E117" s="6" t="s">
        <v>61</v>
      </c>
      <c r="F117" s="6" t="s">
        <v>58</v>
      </c>
      <c r="G117" s="6" t="str">
        <f t="shared" si="3"/>
        <v>Not Done</v>
      </c>
    </row>
    <row r="118" spans="1:7" x14ac:dyDescent="0.25">
      <c r="A118" s="6" t="s">
        <v>119</v>
      </c>
      <c r="B118" s="6" t="s">
        <v>62</v>
      </c>
      <c r="C118" s="6" t="s">
        <v>63</v>
      </c>
      <c r="D118" s="6"/>
      <c r="E118" s="6" t="s">
        <v>64</v>
      </c>
      <c r="F118" s="6" t="s">
        <v>58</v>
      </c>
      <c r="G118" s="6" t="str">
        <f t="shared" si="3"/>
        <v>Not Done</v>
      </c>
    </row>
    <row r="119" spans="1:7" x14ac:dyDescent="0.25">
      <c r="A119" s="6" t="s">
        <v>119</v>
      </c>
      <c r="B119" s="6" t="s">
        <v>65</v>
      </c>
      <c r="C119" s="6" t="s">
        <v>66</v>
      </c>
      <c r="D119" s="6"/>
      <c r="E119" s="6" t="s">
        <v>67</v>
      </c>
      <c r="F119" s="6" t="s">
        <v>58</v>
      </c>
      <c r="G119" s="6" t="str">
        <f t="shared" si="3"/>
        <v>Not Done</v>
      </c>
    </row>
    <row r="120" spans="1:7" x14ac:dyDescent="0.25">
      <c r="A120" s="6" t="s">
        <v>119</v>
      </c>
      <c r="B120" s="6" t="s">
        <v>68</v>
      </c>
      <c r="C120" s="6" t="s">
        <v>69</v>
      </c>
      <c r="D120" s="6"/>
      <c r="E120" s="6" t="s">
        <v>70</v>
      </c>
      <c r="F120" s="6" t="s">
        <v>58</v>
      </c>
      <c r="G120" s="6" t="str">
        <f t="shared" si="3"/>
        <v>Not Done</v>
      </c>
    </row>
    <row r="121" spans="1:7" x14ac:dyDescent="0.25">
      <c r="A121" s="6" t="s">
        <v>119</v>
      </c>
      <c r="B121" s="6" t="s">
        <v>71</v>
      </c>
      <c r="C121" s="6" t="s">
        <v>72</v>
      </c>
      <c r="D121" s="6"/>
      <c r="E121" s="6" t="s">
        <v>73</v>
      </c>
      <c r="F121" s="6" t="s">
        <v>58</v>
      </c>
      <c r="G121" s="6" t="str">
        <f t="shared" si="3"/>
        <v>Not Done</v>
      </c>
    </row>
    <row r="122" spans="1:7" x14ac:dyDescent="0.25">
      <c r="A122" s="6" t="s">
        <v>119</v>
      </c>
      <c r="B122" s="6" t="s">
        <v>74</v>
      </c>
      <c r="C122" s="6" t="s">
        <v>75</v>
      </c>
      <c r="D122" s="6"/>
      <c r="E122" s="6" t="s">
        <v>76</v>
      </c>
      <c r="F122" s="6" t="s">
        <v>58</v>
      </c>
      <c r="G122" s="6" t="str">
        <f t="shared" si="3"/>
        <v>Not Done</v>
      </c>
    </row>
    <row r="123" spans="1:7" x14ac:dyDescent="0.25">
      <c r="A123" s="6" t="s">
        <v>119</v>
      </c>
      <c r="B123" s="6" t="s">
        <v>77</v>
      </c>
      <c r="C123" s="6" t="s">
        <v>120</v>
      </c>
      <c r="D123" s="6"/>
      <c r="E123" s="6" t="s">
        <v>79</v>
      </c>
      <c r="F123" s="6" t="s">
        <v>58</v>
      </c>
      <c r="G123" s="6" t="str">
        <f t="shared" si="3"/>
        <v>Not Done</v>
      </c>
    </row>
    <row r="124" spans="1:7" x14ac:dyDescent="0.25">
      <c r="A124" s="6" t="s">
        <v>119</v>
      </c>
      <c r="B124" s="6" t="s">
        <v>80</v>
      </c>
      <c r="C124" s="6" t="s">
        <v>81</v>
      </c>
      <c r="D124" s="6"/>
      <c r="E124" s="6" t="s">
        <v>107</v>
      </c>
      <c r="F124" s="6" t="s">
        <v>83</v>
      </c>
      <c r="G124" s="6" t="str">
        <f t="shared" si="3"/>
        <v>Not Done</v>
      </c>
    </row>
    <row r="125" spans="1:7" x14ac:dyDescent="0.25">
      <c r="A125" s="6" t="s">
        <v>121</v>
      </c>
      <c r="B125" s="6" t="s">
        <v>68</v>
      </c>
      <c r="C125" s="6" t="s">
        <v>85</v>
      </c>
      <c r="D125" s="6"/>
      <c r="E125" s="6" t="s">
        <v>86</v>
      </c>
      <c r="F125" s="6" t="s">
        <v>58</v>
      </c>
      <c r="G125" s="6" t="str">
        <f t="shared" si="3"/>
        <v>Not Done</v>
      </c>
    </row>
    <row r="126" spans="1:7" x14ac:dyDescent="0.25">
      <c r="A126" s="6" t="s">
        <v>122</v>
      </c>
      <c r="B126" s="6" t="s">
        <v>68</v>
      </c>
      <c r="C126" s="6" t="s">
        <v>88</v>
      </c>
      <c r="D126" s="6"/>
      <c r="E126" s="6" t="s">
        <v>89</v>
      </c>
      <c r="F126" s="6" t="s">
        <v>58</v>
      </c>
      <c r="G126" s="6" t="str">
        <f t="shared" si="3"/>
        <v>Not Done</v>
      </c>
    </row>
    <row r="127" spans="1:7" x14ac:dyDescent="0.25">
      <c r="A127" s="6" t="s">
        <v>123</v>
      </c>
      <c r="B127" s="6" t="s">
        <v>55</v>
      </c>
      <c r="C127" s="6" t="s">
        <v>56</v>
      </c>
      <c r="D127" s="6"/>
      <c r="E127" s="6" t="s">
        <v>57</v>
      </c>
      <c r="F127" s="6" t="s">
        <v>58</v>
      </c>
      <c r="G127" s="6" t="str">
        <f t="shared" si="3"/>
        <v>Not Done</v>
      </c>
    </row>
    <row r="128" spans="1:7" x14ac:dyDescent="0.25">
      <c r="A128" s="6" t="s">
        <v>123</v>
      </c>
      <c r="B128" s="6" t="s">
        <v>59</v>
      </c>
      <c r="C128" s="6" t="s">
        <v>56</v>
      </c>
      <c r="D128" s="6"/>
      <c r="E128" s="6" t="s">
        <v>57</v>
      </c>
      <c r="F128" s="6" t="s">
        <v>58</v>
      </c>
      <c r="G128" s="6" t="str">
        <f t="shared" si="3"/>
        <v>Not Done</v>
      </c>
    </row>
    <row r="129" spans="1:14" x14ac:dyDescent="0.25">
      <c r="A129" s="6" t="s">
        <v>123</v>
      </c>
      <c r="B129" s="6" t="s">
        <v>62</v>
      </c>
      <c r="C129" s="6" t="s">
        <v>91</v>
      </c>
      <c r="D129" s="6"/>
      <c r="E129" s="6" t="s">
        <v>92</v>
      </c>
      <c r="F129" s="6" t="s">
        <v>58</v>
      </c>
      <c r="G129" s="6" t="str">
        <f t="shared" si="3"/>
        <v>Not Done</v>
      </c>
    </row>
    <row r="130" spans="1:14" x14ac:dyDescent="0.25">
      <c r="A130" s="6" t="s">
        <v>123</v>
      </c>
      <c r="B130" s="6" t="s">
        <v>65</v>
      </c>
      <c r="C130" s="6" t="s">
        <v>63</v>
      </c>
      <c r="D130" s="6"/>
      <c r="E130" s="6" t="s">
        <v>64</v>
      </c>
      <c r="F130" s="6" t="s">
        <v>58</v>
      </c>
      <c r="G130" s="6" t="str">
        <f t="shared" si="3"/>
        <v>Not Done</v>
      </c>
    </row>
    <row r="131" spans="1:14" x14ac:dyDescent="0.25">
      <c r="A131" s="6" t="s">
        <v>123</v>
      </c>
      <c r="B131" s="6" t="s">
        <v>68</v>
      </c>
      <c r="C131" s="6" t="s">
        <v>66</v>
      </c>
      <c r="D131" s="6"/>
      <c r="E131" s="6" t="s">
        <v>67</v>
      </c>
      <c r="F131" s="6" t="s">
        <v>58</v>
      </c>
      <c r="G131" s="6" t="str">
        <f t="shared" si="3"/>
        <v>Not Done</v>
      </c>
    </row>
    <row r="132" spans="1:14" x14ac:dyDescent="0.25">
      <c r="A132" s="6" t="s">
        <v>123</v>
      </c>
      <c r="B132" s="6" t="s">
        <v>93</v>
      </c>
      <c r="C132" s="6" t="s">
        <v>94</v>
      </c>
      <c r="D132" s="6"/>
      <c r="E132" s="6" t="s">
        <v>95</v>
      </c>
      <c r="F132" s="6" t="s">
        <v>58</v>
      </c>
      <c r="G132" s="6" t="str">
        <f t="shared" si="3"/>
        <v>Not Done</v>
      </c>
    </row>
    <row r="133" spans="1:14" x14ac:dyDescent="0.25">
      <c r="A133" s="6" t="s">
        <v>123</v>
      </c>
      <c r="B133" s="6" t="s">
        <v>71</v>
      </c>
      <c r="C133" s="6" t="s">
        <v>96</v>
      </c>
      <c r="D133" s="6"/>
      <c r="E133" s="6" t="s">
        <v>97</v>
      </c>
      <c r="F133" s="6" t="s">
        <v>58</v>
      </c>
      <c r="G133" s="6" t="str">
        <f t="shared" si="3"/>
        <v>Not Done</v>
      </c>
    </row>
    <row r="134" spans="1:14" x14ac:dyDescent="0.25">
      <c r="A134" s="6" t="s">
        <v>123</v>
      </c>
      <c r="B134" s="6" t="s">
        <v>98</v>
      </c>
      <c r="C134" s="6" t="s">
        <v>72</v>
      </c>
      <c r="D134" s="6"/>
      <c r="E134" s="6" t="s">
        <v>73</v>
      </c>
      <c r="F134" s="6" t="s">
        <v>58</v>
      </c>
      <c r="G134" s="6" t="str">
        <f t="shared" si="3"/>
        <v>Not Done</v>
      </c>
    </row>
    <row r="135" spans="1:14" x14ac:dyDescent="0.25">
      <c r="A135" s="6" t="s">
        <v>123</v>
      </c>
      <c r="B135" s="6" t="s">
        <v>74</v>
      </c>
      <c r="C135" s="6" t="s">
        <v>99</v>
      </c>
      <c r="D135" s="6"/>
      <c r="E135" s="6" t="s">
        <v>100</v>
      </c>
      <c r="F135" s="6" t="s">
        <v>58</v>
      </c>
      <c r="G135" s="6" t="str">
        <f t="shared" si="3"/>
        <v>Not Done</v>
      </c>
    </row>
    <row r="136" spans="1:14" x14ac:dyDescent="0.25">
      <c r="A136" s="6" t="s">
        <v>123</v>
      </c>
      <c r="B136" s="6" t="s">
        <v>77</v>
      </c>
      <c r="C136" s="6" t="s">
        <v>101</v>
      </c>
      <c r="D136" s="6"/>
      <c r="E136" s="6" t="s">
        <v>102</v>
      </c>
      <c r="F136" s="6" t="s">
        <v>58</v>
      </c>
      <c r="G136" s="6" t="str">
        <f t="shared" si="3"/>
        <v>Not Done</v>
      </c>
    </row>
    <row r="137" spans="1:14" x14ac:dyDescent="0.25">
      <c r="A137" s="6" t="s">
        <v>124</v>
      </c>
      <c r="B137" s="6" t="s">
        <v>68</v>
      </c>
      <c r="C137" s="6" t="s">
        <v>85</v>
      </c>
      <c r="D137" s="6"/>
      <c r="E137" s="6" t="s">
        <v>86</v>
      </c>
      <c r="F137" s="6" t="s">
        <v>58</v>
      </c>
      <c r="G137" s="6" t="str">
        <f t="shared" si="3"/>
        <v>Not Done</v>
      </c>
    </row>
    <row r="138" spans="1:14" x14ac:dyDescent="0.25">
      <c r="A138" s="6" t="s">
        <v>125</v>
      </c>
      <c r="B138" s="6" t="s">
        <v>68</v>
      </c>
      <c r="C138" s="6" t="s">
        <v>88</v>
      </c>
      <c r="D138" s="6"/>
      <c r="E138" s="6" t="s">
        <v>89</v>
      </c>
      <c r="F138" s="6" t="s">
        <v>58</v>
      </c>
      <c r="G138" s="6" t="str">
        <f t="shared" si="3"/>
        <v>Not Done</v>
      </c>
    </row>
    <row r="140" spans="1:14" ht="15.75" x14ac:dyDescent="0.25">
      <c r="A140" s="4" t="s">
        <v>126</v>
      </c>
    </row>
    <row r="141" spans="1:14" x14ac:dyDescent="0.25">
      <c r="A141" s="5" t="s">
        <v>25</v>
      </c>
      <c r="B141" s="5" t="s">
        <v>30</v>
      </c>
      <c r="C141" s="5" t="s">
        <v>31</v>
      </c>
      <c r="D141" s="5" t="s">
        <v>32</v>
      </c>
      <c r="E141" s="5" t="s">
        <v>33</v>
      </c>
      <c r="F141" s="5" t="s">
        <v>34</v>
      </c>
      <c r="G141" s="5" t="s">
        <v>26</v>
      </c>
      <c r="L141" t="s">
        <v>127</v>
      </c>
      <c r="M141" t="s">
        <v>128</v>
      </c>
    </row>
    <row r="142" spans="1:14" x14ac:dyDescent="0.25">
      <c r="A142" s="6" t="s">
        <v>129</v>
      </c>
      <c r="B142" s="6" t="s">
        <v>59</v>
      </c>
      <c r="C142" s="6" t="s">
        <v>130</v>
      </c>
      <c r="D142" s="7" t="str">
        <f t="shared" ref="D142:D173" si="4">IFERROR(((M142-L142-A142)/A142),"Not Done")</f>
        <v>Not Done</v>
      </c>
      <c r="E142" s="6" t="s">
        <v>131</v>
      </c>
      <c r="F142" s="6" t="s">
        <v>132</v>
      </c>
      <c r="G142" s="6" t="str">
        <f t="shared" ref="G142:G173" si="5">IF(ISBLANK(N142),"Not Done",IF(AND(D142&lt;=E142,D142&gt;=C142),"Pass","Fail"))</f>
        <v>Not Done</v>
      </c>
      <c r="L142">
        <v>18</v>
      </c>
      <c r="M142" s="8"/>
      <c r="N142" s="8"/>
    </row>
    <row r="143" spans="1:14" x14ac:dyDescent="0.25">
      <c r="A143" s="6" t="s">
        <v>129</v>
      </c>
      <c r="B143" s="6" t="s">
        <v>62</v>
      </c>
      <c r="C143" s="6" t="s">
        <v>130</v>
      </c>
      <c r="D143" s="7" t="str">
        <f t="shared" si="4"/>
        <v>Not Done</v>
      </c>
      <c r="E143" s="6" t="s">
        <v>131</v>
      </c>
      <c r="F143" s="6" t="s">
        <v>132</v>
      </c>
      <c r="G143" s="6" t="str">
        <f t="shared" si="5"/>
        <v>Not Done</v>
      </c>
      <c r="L143">
        <v>45</v>
      </c>
      <c r="M143" s="8"/>
      <c r="N143" s="8"/>
    </row>
    <row r="144" spans="1:14" x14ac:dyDescent="0.25">
      <c r="A144" s="6" t="s">
        <v>129</v>
      </c>
      <c r="B144" s="6" t="s">
        <v>65</v>
      </c>
      <c r="C144" s="6" t="s">
        <v>130</v>
      </c>
      <c r="D144" s="7" t="str">
        <f t="shared" si="4"/>
        <v>Not Done</v>
      </c>
      <c r="E144" s="6" t="s">
        <v>131</v>
      </c>
      <c r="F144" s="6" t="s">
        <v>132</v>
      </c>
      <c r="G144" s="6" t="str">
        <f t="shared" si="5"/>
        <v>Not Done</v>
      </c>
      <c r="L144">
        <v>90</v>
      </c>
      <c r="M144" s="8"/>
      <c r="N144" s="8"/>
    </row>
    <row r="145" spans="1:14" x14ac:dyDescent="0.25">
      <c r="A145" s="6" t="s">
        <v>129</v>
      </c>
      <c r="B145" s="6" t="s">
        <v>68</v>
      </c>
      <c r="C145" s="6" t="s">
        <v>130</v>
      </c>
      <c r="D145" s="7" t="str">
        <f t="shared" si="4"/>
        <v>Not Done</v>
      </c>
      <c r="E145" s="6" t="s">
        <v>131</v>
      </c>
      <c r="F145" s="6" t="s">
        <v>132</v>
      </c>
      <c r="G145" s="6" t="str">
        <f t="shared" si="5"/>
        <v>Not Done</v>
      </c>
      <c r="L145">
        <v>180</v>
      </c>
      <c r="M145" s="8"/>
      <c r="N145" s="8"/>
    </row>
    <row r="146" spans="1:14" x14ac:dyDescent="0.25">
      <c r="A146" s="6" t="s">
        <v>129</v>
      </c>
      <c r="B146" s="6" t="s">
        <v>93</v>
      </c>
      <c r="C146" s="6" t="s">
        <v>130</v>
      </c>
      <c r="D146" s="7" t="str">
        <f t="shared" si="4"/>
        <v>Not Done</v>
      </c>
      <c r="E146" s="6" t="s">
        <v>131</v>
      </c>
      <c r="F146" s="6" t="s">
        <v>132</v>
      </c>
      <c r="G146" s="6" t="str">
        <f t="shared" si="5"/>
        <v>Not Done</v>
      </c>
      <c r="L146">
        <v>450</v>
      </c>
      <c r="M146" s="8"/>
      <c r="N146" s="8"/>
    </row>
    <row r="147" spans="1:14" x14ac:dyDescent="0.25">
      <c r="A147" s="6" t="s">
        <v>129</v>
      </c>
      <c r="B147" s="6" t="s">
        <v>71</v>
      </c>
      <c r="C147" s="6" t="s">
        <v>130</v>
      </c>
      <c r="D147" s="7" t="str">
        <f t="shared" si="4"/>
        <v>Not Done</v>
      </c>
      <c r="E147" s="6" t="s">
        <v>131</v>
      </c>
      <c r="F147" s="6" t="s">
        <v>132</v>
      </c>
      <c r="G147" s="6" t="str">
        <f t="shared" si="5"/>
        <v>Not Done</v>
      </c>
      <c r="L147">
        <v>900</v>
      </c>
      <c r="M147" s="8"/>
      <c r="N147" s="8"/>
    </row>
    <row r="148" spans="1:14" x14ac:dyDescent="0.25">
      <c r="A148" s="6" t="s">
        <v>129</v>
      </c>
      <c r="B148" s="6" t="s">
        <v>98</v>
      </c>
      <c r="C148" s="6" t="s">
        <v>130</v>
      </c>
      <c r="D148" s="7" t="str">
        <f t="shared" si="4"/>
        <v>Not Done</v>
      </c>
      <c r="E148" s="6" t="s">
        <v>131</v>
      </c>
      <c r="F148" s="6" t="s">
        <v>132</v>
      </c>
      <c r="G148" s="6" t="str">
        <f t="shared" si="5"/>
        <v>Not Done</v>
      </c>
      <c r="L148">
        <v>1800</v>
      </c>
      <c r="M148" s="8"/>
      <c r="N148" s="8"/>
    </row>
    <row r="149" spans="1:14" x14ac:dyDescent="0.25">
      <c r="A149" s="6" t="s">
        <v>129</v>
      </c>
      <c r="B149" s="6" t="s">
        <v>74</v>
      </c>
      <c r="C149" s="6" t="s">
        <v>130</v>
      </c>
      <c r="D149" s="7" t="str">
        <f t="shared" si="4"/>
        <v>Not Done</v>
      </c>
      <c r="E149" s="6" t="s">
        <v>131</v>
      </c>
      <c r="F149" s="6" t="s">
        <v>132</v>
      </c>
      <c r="G149" s="6" t="str">
        <f t="shared" si="5"/>
        <v>Not Done</v>
      </c>
      <c r="L149">
        <v>4900</v>
      </c>
      <c r="M149" s="8"/>
      <c r="N149" s="8"/>
    </row>
    <row r="150" spans="1:14" x14ac:dyDescent="0.25">
      <c r="A150" s="6" t="s">
        <v>129</v>
      </c>
      <c r="B150" s="6" t="s">
        <v>77</v>
      </c>
      <c r="C150" s="6" t="s">
        <v>130</v>
      </c>
      <c r="D150" s="7" t="str">
        <f t="shared" si="4"/>
        <v>Not Done</v>
      </c>
      <c r="E150" s="6" t="s">
        <v>131</v>
      </c>
      <c r="F150" s="6" t="s">
        <v>132</v>
      </c>
      <c r="G150" s="6" t="str">
        <f t="shared" si="5"/>
        <v>Not Done</v>
      </c>
      <c r="L150">
        <v>9000</v>
      </c>
      <c r="M150" s="8"/>
      <c r="N150" s="8"/>
    </row>
    <row r="151" spans="1:14" x14ac:dyDescent="0.25">
      <c r="A151" s="6" t="s">
        <v>133</v>
      </c>
      <c r="B151" s="6" t="s">
        <v>68</v>
      </c>
      <c r="C151" s="6" t="s">
        <v>130</v>
      </c>
      <c r="D151" s="7" t="str">
        <f t="shared" si="4"/>
        <v>Not Done</v>
      </c>
      <c r="E151" s="6" t="s">
        <v>131</v>
      </c>
      <c r="F151" s="6" t="s">
        <v>132</v>
      </c>
      <c r="G151" s="6" t="str">
        <f t="shared" si="5"/>
        <v>Not Done</v>
      </c>
      <c r="L151">
        <v>180</v>
      </c>
      <c r="M151" s="8"/>
      <c r="N151" s="8"/>
    </row>
    <row r="152" spans="1:14" x14ac:dyDescent="0.25">
      <c r="A152" s="6" t="s">
        <v>134</v>
      </c>
      <c r="B152" s="6" t="s">
        <v>68</v>
      </c>
      <c r="C152" s="6" t="s">
        <v>130</v>
      </c>
      <c r="D152" s="7" t="str">
        <f t="shared" si="4"/>
        <v>Not Done</v>
      </c>
      <c r="E152" s="6" t="s">
        <v>131</v>
      </c>
      <c r="F152" s="6" t="s">
        <v>132</v>
      </c>
      <c r="G152" s="6" t="str">
        <f t="shared" si="5"/>
        <v>Not Done</v>
      </c>
      <c r="L152">
        <v>180</v>
      </c>
      <c r="M152" s="8"/>
      <c r="N152" s="8"/>
    </row>
    <row r="153" spans="1:14" x14ac:dyDescent="0.25">
      <c r="A153" s="6" t="s">
        <v>135</v>
      </c>
      <c r="B153" s="6" t="s">
        <v>59</v>
      </c>
      <c r="C153" s="6" t="s">
        <v>130</v>
      </c>
      <c r="D153" s="7" t="str">
        <f t="shared" si="4"/>
        <v>Not Done</v>
      </c>
      <c r="E153" s="6" t="s">
        <v>131</v>
      </c>
      <c r="F153" s="6" t="s">
        <v>132</v>
      </c>
      <c r="G153" s="6" t="str">
        <f t="shared" si="5"/>
        <v>Not Done</v>
      </c>
      <c r="L153">
        <v>18</v>
      </c>
      <c r="M153" s="8"/>
      <c r="N153" s="8"/>
    </row>
    <row r="154" spans="1:14" x14ac:dyDescent="0.25">
      <c r="A154" s="6" t="s">
        <v>135</v>
      </c>
      <c r="B154" s="6" t="s">
        <v>62</v>
      </c>
      <c r="C154" s="6" t="s">
        <v>130</v>
      </c>
      <c r="D154" s="7" t="str">
        <f t="shared" si="4"/>
        <v>Not Done</v>
      </c>
      <c r="E154" s="6" t="s">
        <v>131</v>
      </c>
      <c r="F154" s="6" t="s">
        <v>132</v>
      </c>
      <c r="G154" s="6" t="str">
        <f t="shared" si="5"/>
        <v>Not Done</v>
      </c>
      <c r="L154">
        <v>45</v>
      </c>
      <c r="M154" s="8"/>
      <c r="N154" s="8"/>
    </row>
    <row r="155" spans="1:14" x14ac:dyDescent="0.25">
      <c r="A155" s="6" t="s">
        <v>135</v>
      </c>
      <c r="B155" s="6" t="s">
        <v>65</v>
      </c>
      <c r="C155" s="6" t="s">
        <v>130</v>
      </c>
      <c r="D155" s="7" t="str">
        <f t="shared" si="4"/>
        <v>Not Done</v>
      </c>
      <c r="E155" s="6" t="s">
        <v>131</v>
      </c>
      <c r="F155" s="6" t="s">
        <v>132</v>
      </c>
      <c r="G155" s="6" t="str">
        <f t="shared" si="5"/>
        <v>Not Done</v>
      </c>
      <c r="L155">
        <v>90</v>
      </c>
      <c r="M155" s="8"/>
      <c r="N155" s="8"/>
    </row>
    <row r="156" spans="1:14" x14ac:dyDescent="0.25">
      <c r="A156" s="6" t="s">
        <v>135</v>
      </c>
      <c r="B156" s="6" t="s">
        <v>68</v>
      </c>
      <c r="C156" s="6" t="s">
        <v>130</v>
      </c>
      <c r="D156" s="7" t="str">
        <f t="shared" si="4"/>
        <v>Not Done</v>
      </c>
      <c r="E156" s="6" t="s">
        <v>131</v>
      </c>
      <c r="F156" s="6" t="s">
        <v>132</v>
      </c>
      <c r="G156" s="6" t="str">
        <f t="shared" si="5"/>
        <v>Not Done</v>
      </c>
      <c r="L156">
        <v>180</v>
      </c>
      <c r="M156" s="8"/>
      <c r="N156" s="8"/>
    </row>
    <row r="157" spans="1:14" x14ac:dyDescent="0.25">
      <c r="A157" s="6" t="s">
        <v>135</v>
      </c>
      <c r="B157" s="6" t="s">
        <v>93</v>
      </c>
      <c r="C157" s="6" t="s">
        <v>130</v>
      </c>
      <c r="D157" s="7" t="str">
        <f t="shared" si="4"/>
        <v>Not Done</v>
      </c>
      <c r="E157" s="6" t="s">
        <v>131</v>
      </c>
      <c r="F157" s="6" t="s">
        <v>132</v>
      </c>
      <c r="G157" s="6" t="str">
        <f t="shared" si="5"/>
        <v>Not Done</v>
      </c>
      <c r="L157">
        <v>450</v>
      </c>
      <c r="M157" s="8"/>
      <c r="N157" s="8"/>
    </row>
    <row r="158" spans="1:14" x14ac:dyDescent="0.25">
      <c r="A158" s="6" t="s">
        <v>135</v>
      </c>
      <c r="B158" s="6" t="s">
        <v>71</v>
      </c>
      <c r="C158" s="6" t="s">
        <v>130</v>
      </c>
      <c r="D158" s="7" t="str">
        <f t="shared" si="4"/>
        <v>Not Done</v>
      </c>
      <c r="E158" s="6" t="s">
        <v>131</v>
      </c>
      <c r="F158" s="6" t="s">
        <v>132</v>
      </c>
      <c r="G158" s="6" t="str">
        <f t="shared" si="5"/>
        <v>Not Done</v>
      </c>
      <c r="L158">
        <v>900</v>
      </c>
      <c r="M158" s="8"/>
      <c r="N158" s="8"/>
    </row>
    <row r="159" spans="1:14" x14ac:dyDescent="0.25">
      <c r="A159" s="6" t="s">
        <v>135</v>
      </c>
      <c r="B159" s="6" t="s">
        <v>98</v>
      </c>
      <c r="C159" s="6" t="s">
        <v>130</v>
      </c>
      <c r="D159" s="7" t="str">
        <f t="shared" si="4"/>
        <v>Not Done</v>
      </c>
      <c r="E159" s="6" t="s">
        <v>131</v>
      </c>
      <c r="F159" s="6" t="s">
        <v>132</v>
      </c>
      <c r="G159" s="6" t="str">
        <f t="shared" si="5"/>
        <v>Not Done</v>
      </c>
      <c r="L159">
        <v>1800</v>
      </c>
      <c r="M159" s="8"/>
      <c r="N159" s="8"/>
    </row>
    <row r="160" spans="1:14" x14ac:dyDescent="0.25">
      <c r="A160" s="6" t="s">
        <v>135</v>
      </c>
      <c r="B160" s="6" t="s">
        <v>74</v>
      </c>
      <c r="C160" s="6" t="s">
        <v>130</v>
      </c>
      <c r="D160" s="7" t="str">
        <f t="shared" si="4"/>
        <v>Not Done</v>
      </c>
      <c r="E160" s="6" t="s">
        <v>131</v>
      </c>
      <c r="F160" s="6" t="s">
        <v>132</v>
      </c>
      <c r="G160" s="6" t="str">
        <f t="shared" si="5"/>
        <v>Not Done</v>
      </c>
      <c r="L160">
        <v>4900</v>
      </c>
      <c r="M160" s="8"/>
      <c r="N160" s="8"/>
    </row>
    <row r="161" spans="1:14" x14ac:dyDescent="0.25">
      <c r="A161" s="6" t="s">
        <v>135</v>
      </c>
      <c r="B161" s="6" t="s">
        <v>77</v>
      </c>
      <c r="C161" s="6" t="s">
        <v>130</v>
      </c>
      <c r="D161" s="7" t="str">
        <f t="shared" si="4"/>
        <v>Not Done</v>
      </c>
      <c r="E161" s="6" t="s">
        <v>131</v>
      </c>
      <c r="F161" s="6" t="s">
        <v>132</v>
      </c>
      <c r="G161" s="6" t="str">
        <f t="shared" si="5"/>
        <v>Not Done</v>
      </c>
      <c r="L161">
        <v>9000</v>
      </c>
      <c r="M161" s="8"/>
      <c r="N161" s="8"/>
    </row>
    <row r="162" spans="1:14" x14ac:dyDescent="0.25">
      <c r="A162" s="6" t="s">
        <v>136</v>
      </c>
      <c r="B162" s="6" t="s">
        <v>68</v>
      </c>
      <c r="C162" s="6" t="s">
        <v>130</v>
      </c>
      <c r="D162" s="7" t="str">
        <f t="shared" si="4"/>
        <v>Not Done</v>
      </c>
      <c r="E162" s="6" t="s">
        <v>131</v>
      </c>
      <c r="F162" s="6" t="s">
        <v>132</v>
      </c>
      <c r="G162" s="6" t="str">
        <f t="shared" si="5"/>
        <v>Not Done</v>
      </c>
      <c r="L162">
        <v>180</v>
      </c>
      <c r="M162" s="8"/>
      <c r="N162" s="8"/>
    </row>
    <row r="163" spans="1:14" x14ac:dyDescent="0.25">
      <c r="A163" s="6" t="s">
        <v>137</v>
      </c>
      <c r="B163" s="6" t="s">
        <v>68</v>
      </c>
      <c r="C163" s="6" t="s">
        <v>130</v>
      </c>
      <c r="D163" s="7" t="str">
        <f t="shared" si="4"/>
        <v>Not Done</v>
      </c>
      <c r="E163" s="6" t="s">
        <v>131</v>
      </c>
      <c r="F163" s="6" t="s">
        <v>132</v>
      </c>
      <c r="G163" s="6" t="str">
        <f t="shared" si="5"/>
        <v>Not Done</v>
      </c>
      <c r="L163">
        <v>180</v>
      </c>
      <c r="M163" s="8"/>
      <c r="N163" s="8"/>
    </row>
    <row r="164" spans="1:14" x14ac:dyDescent="0.25">
      <c r="A164" s="6" t="s">
        <v>138</v>
      </c>
      <c r="B164" s="6" t="s">
        <v>59</v>
      </c>
      <c r="C164" s="6" t="s">
        <v>130</v>
      </c>
      <c r="D164" s="7" t="str">
        <f t="shared" si="4"/>
        <v>Not Done</v>
      </c>
      <c r="E164" s="6" t="s">
        <v>131</v>
      </c>
      <c r="F164" s="6" t="s">
        <v>132</v>
      </c>
      <c r="G164" s="6" t="str">
        <f t="shared" si="5"/>
        <v>Not Done</v>
      </c>
      <c r="L164">
        <v>18</v>
      </c>
      <c r="M164" s="8"/>
      <c r="N164" s="8"/>
    </row>
    <row r="165" spans="1:14" x14ac:dyDescent="0.25">
      <c r="A165" s="6" t="s">
        <v>138</v>
      </c>
      <c r="B165" s="6" t="s">
        <v>62</v>
      </c>
      <c r="C165" s="6" t="s">
        <v>130</v>
      </c>
      <c r="D165" s="7" t="str">
        <f t="shared" si="4"/>
        <v>Not Done</v>
      </c>
      <c r="E165" s="6" t="s">
        <v>131</v>
      </c>
      <c r="F165" s="6" t="s">
        <v>132</v>
      </c>
      <c r="G165" s="6" t="str">
        <f t="shared" si="5"/>
        <v>Not Done</v>
      </c>
      <c r="L165">
        <v>45</v>
      </c>
      <c r="M165" s="8"/>
      <c r="N165" s="8"/>
    </row>
    <row r="166" spans="1:14" x14ac:dyDescent="0.25">
      <c r="A166" s="6" t="s">
        <v>138</v>
      </c>
      <c r="B166" s="6" t="s">
        <v>65</v>
      </c>
      <c r="C166" s="6" t="s">
        <v>130</v>
      </c>
      <c r="D166" s="7" t="str">
        <f t="shared" si="4"/>
        <v>Not Done</v>
      </c>
      <c r="E166" s="6" t="s">
        <v>131</v>
      </c>
      <c r="F166" s="6" t="s">
        <v>132</v>
      </c>
      <c r="G166" s="6" t="str">
        <f t="shared" si="5"/>
        <v>Not Done</v>
      </c>
      <c r="L166">
        <v>90</v>
      </c>
      <c r="M166" s="8"/>
      <c r="N166" s="8"/>
    </row>
    <row r="167" spans="1:14" x14ac:dyDescent="0.25">
      <c r="A167" s="6" t="s">
        <v>138</v>
      </c>
      <c r="B167" s="6" t="s">
        <v>68</v>
      </c>
      <c r="C167" s="6" t="s">
        <v>130</v>
      </c>
      <c r="D167" s="7" t="str">
        <f t="shared" si="4"/>
        <v>Not Done</v>
      </c>
      <c r="E167" s="6" t="s">
        <v>131</v>
      </c>
      <c r="F167" s="6" t="s">
        <v>132</v>
      </c>
      <c r="G167" s="6" t="str">
        <f t="shared" si="5"/>
        <v>Not Done</v>
      </c>
      <c r="L167">
        <v>180</v>
      </c>
      <c r="M167" s="8"/>
      <c r="N167" s="8"/>
    </row>
    <row r="168" spans="1:14" x14ac:dyDescent="0.25">
      <c r="A168" s="6" t="s">
        <v>138</v>
      </c>
      <c r="B168" s="6" t="s">
        <v>93</v>
      </c>
      <c r="C168" s="6" t="s">
        <v>130</v>
      </c>
      <c r="D168" s="7" t="str">
        <f t="shared" si="4"/>
        <v>Not Done</v>
      </c>
      <c r="E168" s="6" t="s">
        <v>131</v>
      </c>
      <c r="F168" s="6" t="s">
        <v>132</v>
      </c>
      <c r="G168" s="6" t="str">
        <f t="shared" si="5"/>
        <v>Not Done</v>
      </c>
      <c r="L168">
        <v>450</v>
      </c>
      <c r="M168" s="8"/>
      <c r="N168" s="8"/>
    </row>
    <row r="169" spans="1:14" x14ac:dyDescent="0.25">
      <c r="A169" s="6" t="s">
        <v>138</v>
      </c>
      <c r="B169" s="6" t="s">
        <v>71</v>
      </c>
      <c r="C169" s="6" t="s">
        <v>130</v>
      </c>
      <c r="D169" s="7" t="str">
        <f t="shared" si="4"/>
        <v>Not Done</v>
      </c>
      <c r="E169" s="6" t="s">
        <v>131</v>
      </c>
      <c r="F169" s="6" t="s">
        <v>132</v>
      </c>
      <c r="G169" s="6" t="str">
        <f t="shared" si="5"/>
        <v>Not Done</v>
      </c>
      <c r="L169">
        <v>900</v>
      </c>
      <c r="M169" s="8"/>
      <c r="N169" s="8"/>
    </row>
    <row r="170" spans="1:14" x14ac:dyDescent="0.25">
      <c r="A170" s="6" t="s">
        <v>138</v>
      </c>
      <c r="B170" s="6" t="s">
        <v>98</v>
      </c>
      <c r="C170" s="6" t="s">
        <v>130</v>
      </c>
      <c r="D170" s="7" t="str">
        <f t="shared" si="4"/>
        <v>Not Done</v>
      </c>
      <c r="E170" s="6" t="s">
        <v>131</v>
      </c>
      <c r="F170" s="6" t="s">
        <v>132</v>
      </c>
      <c r="G170" s="6" t="str">
        <f t="shared" si="5"/>
        <v>Not Done</v>
      </c>
      <c r="L170">
        <v>1800</v>
      </c>
      <c r="M170" s="8"/>
      <c r="N170" s="8"/>
    </row>
    <row r="171" spans="1:14" x14ac:dyDescent="0.25">
      <c r="A171" s="6" t="s">
        <v>138</v>
      </c>
      <c r="B171" s="6" t="s">
        <v>74</v>
      </c>
      <c r="C171" s="6" t="s">
        <v>130</v>
      </c>
      <c r="D171" s="7" t="str">
        <f t="shared" si="4"/>
        <v>Not Done</v>
      </c>
      <c r="E171" s="6" t="s">
        <v>131</v>
      </c>
      <c r="F171" s="6" t="s">
        <v>132</v>
      </c>
      <c r="G171" s="6" t="str">
        <f t="shared" si="5"/>
        <v>Not Done</v>
      </c>
      <c r="L171">
        <v>4900</v>
      </c>
      <c r="M171" s="8"/>
      <c r="N171" s="8"/>
    </row>
    <row r="172" spans="1:14" x14ac:dyDescent="0.25">
      <c r="A172" s="6" t="s">
        <v>138</v>
      </c>
      <c r="B172" s="6" t="s">
        <v>77</v>
      </c>
      <c r="C172" s="6" t="s">
        <v>130</v>
      </c>
      <c r="D172" s="7" t="str">
        <f t="shared" si="4"/>
        <v>Not Done</v>
      </c>
      <c r="E172" s="6" t="s">
        <v>131</v>
      </c>
      <c r="F172" s="6" t="s">
        <v>132</v>
      </c>
      <c r="G172" s="6" t="str">
        <f t="shared" si="5"/>
        <v>Not Done</v>
      </c>
      <c r="L172">
        <v>9000</v>
      </c>
      <c r="M172" s="8"/>
      <c r="N172" s="8"/>
    </row>
    <row r="173" spans="1:14" x14ac:dyDescent="0.25">
      <c r="A173" s="6" t="s">
        <v>139</v>
      </c>
      <c r="B173" s="6" t="s">
        <v>68</v>
      </c>
      <c r="C173" s="6" t="s">
        <v>130</v>
      </c>
      <c r="D173" s="7" t="str">
        <f t="shared" si="4"/>
        <v>Not Done</v>
      </c>
      <c r="E173" s="6" t="s">
        <v>131</v>
      </c>
      <c r="F173" s="6" t="s">
        <v>132</v>
      </c>
      <c r="G173" s="6" t="str">
        <f t="shared" si="5"/>
        <v>Not Done</v>
      </c>
      <c r="L173">
        <v>180</v>
      </c>
      <c r="M173" s="8"/>
      <c r="N173" s="8"/>
    </row>
    <row r="174" spans="1:14" x14ac:dyDescent="0.25">
      <c r="A174" s="6" t="s">
        <v>140</v>
      </c>
      <c r="B174" s="6" t="s">
        <v>68</v>
      </c>
      <c r="C174" s="6" t="s">
        <v>130</v>
      </c>
      <c r="D174" s="7" t="str">
        <f t="shared" ref="D174:D205" si="6">IFERROR(((M174-L174-A174)/A174),"Not Done")</f>
        <v>Not Done</v>
      </c>
      <c r="E174" s="6" t="s">
        <v>131</v>
      </c>
      <c r="F174" s="6" t="s">
        <v>132</v>
      </c>
      <c r="G174" s="6" t="str">
        <f t="shared" ref="G174:G205" si="7">IF(ISBLANK(N174),"Not Done",IF(AND(D174&lt;=E174,D174&gt;=C174),"Pass","Fail"))</f>
        <v>Not Done</v>
      </c>
      <c r="L174">
        <v>180</v>
      </c>
      <c r="M174" s="8"/>
      <c r="N174" s="8"/>
    </row>
    <row r="175" spans="1:14" x14ac:dyDescent="0.25">
      <c r="A175" s="6" t="s">
        <v>141</v>
      </c>
      <c r="B175" s="6" t="s">
        <v>59</v>
      </c>
      <c r="C175" s="6" t="s">
        <v>130</v>
      </c>
      <c r="D175" s="7" t="str">
        <f t="shared" si="6"/>
        <v>Not Done</v>
      </c>
      <c r="E175" s="6" t="s">
        <v>131</v>
      </c>
      <c r="F175" s="6" t="s">
        <v>132</v>
      </c>
      <c r="G175" s="6" t="str">
        <f t="shared" si="7"/>
        <v>Not Done</v>
      </c>
      <c r="L175">
        <v>18</v>
      </c>
      <c r="M175" s="8"/>
      <c r="N175" s="8"/>
    </row>
    <row r="176" spans="1:14" x14ac:dyDescent="0.25">
      <c r="A176" s="6" t="s">
        <v>141</v>
      </c>
      <c r="B176" s="6" t="s">
        <v>62</v>
      </c>
      <c r="C176" s="6" t="s">
        <v>130</v>
      </c>
      <c r="D176" s="7" t="str">
        <f t="shared" si="6"/>
        <v>Not Done</v>
      </c>
      <c r="E176" s="6" t="s">
        <v>131</v>
      </c>
      <c r="F176" s="6" t="s">
        <v>132</v>
      </c>
      <c r="G176" s="6" t="str">
        <f t="shared" si="7"/>
        <v>Not Done</v>
      </c>
      <c r="L176">
        <v>45</v>
      </c>
      <c r="M176" s="8"/>
      <c r="N176" s="8"/>
    </row>
    <row r="177" spans="1:14" x14ac:dyDescent="0.25">
      <c r="A177" s="6" t="s">
        <v>141</v>
      </c>
      <c r="B177" s="6" t="s">
        <v>65</v>
      </c>
      <c r="C177" s="6" t="s">
        <v>130</v>
      </c>
      <c r="D177" s="7" t="str">
        <f t="shared" si="6"/>
        <v>Not Done</v>
      </c>
      <c r="E177" s="6" t="s">
        <v>131</v>
      </c>
      <c r="F177" s="6" t="s">
        <v>132</v>
      </c>
      <c r="G177" s="6" t="str">
        <f t="shared" si="7"/>
        <v>Not Done</v>
      </c>
      <c r="L177">
        <v>90</v>
      </c>
      <c r="M177" s="8"/>
      <c r="N177" s="8"/>
    </row>
    <row r="178" spans="1:14" x14ac:dyDescent="0.25">
      <c r="A178" s="6" t="s">
        <v>141</v>
      </c>
      <c r="B178" s="6" t="s">
        <v>68</v>
      </c>
      <c r="C178" s="6" t="s">
        <v>130</v>
      </c>
      <c r="D178" s="7" t="str">
        <f t="shared" si="6"/>
        <v>Not Done</v>
      </c>
      <c r="E178" s="6" t="s">
        <v>131</v>
      </c>
      <c r="F178" s="6" t="s">
        <v>132</v>
      </c>
      <c r="G178" s="6" t="str">
        <f t="shared" si="7"/>
        <v>Not Done</v>
      </c>
      <c r="L178">
        <v>180</v>
      </c>
      <c r="M178" s="8"/>
      <c r="N178" s="8"/>
    </row>
    <row r="179" spans="1:14" x14ac:dyDescent="0.25">
      <c r="A179" s="6" t="s">
        <v>141</v>
      </c>
      <c r="B179" s="6" t="s">
        <v>93</v>
      </c>
      <c r="C179" s="6" t="s">
        <v>130</v>
      </c>
      <c r="D179" s="7" t="str">
        <f t="shared" si="6"/>
        <v>Not Done</v>
      </c>
      <c r="E179" s="6" t="s">
        <v>131</v>
      </c>
      <c r="F179" s="6" t="s">
        <v>132</v>
      </c>
      <c r="G179" s="6" t="str">
        <f t="shared" si="7"/>
        <v>Not Done</v>
      </c>
      <c r="L179">
        <v>450</v>
      </c>
      <c r="M179" s="8"/>
      <c r="N179" s="8"/>
    </row>
    <row r="180" spans="1:14" x14ac:dyDescent="0.25">
      <c r="A180" s="6" t="s">
        <v>141</v>
      </c>
      <c r="B180" s="6" t="s">
        <v>71</v>
      </c>
      <c r="C180" s="6" t="s">
        <v>130</v>
      </c>
      <c r="D180" s="7" t="str">
        <f t="shared" si="6"/>
        <v>Not Done</v>
      </c>
      <c r="E180" s="6" t="s">
        <v>131</v>
      </c>
      <c r="F180" s="6" t="s">
        <v>132</v>
      </c>
      <c r="G180" s="6" t="str">
        <f t="shared" si="7"/>
        <v>Not Done</v>
      </c>
      <c r="L180">
        <v>900</v>
      </c>
      <c r="M180" s="8"/>
      <c r="N180" s="8"/>
    </row>
    <row r="181" spans="1:14" x14ac:dyDescent="0.25">
      <c r="A181" s="6" t="s">
        <v>141</v>
      </c>
      <c r="B181" s="6" t="s">
        <v>98</v>
      </c>
      <c r="C181" s="6" t="s">
        <v>130</v>
      </c>
      <c r="D181" s="7" t="str">
        <f t="shared" si="6"/>
        <v>Not Done</v>
      </c>
      <c r="E181" s="6" t="s">
        <v>131</v>
      </c>
      <c r="F181" s="6" t="s">
        <v>132</v>
      </c>
      <c r="G181" s="6" t="str">
        <f t="shared" si="7"/>
        <v>Not Done</v>
      </c>
      <c r="L181">
        <v>1800</v>
      </c>
      <c r="M181" s="8"/>
      <c r="N181" s="8"/>
    </row>
    <row r="182" spans="1:14" x14ac:dyDescent="0.25">
      <c r="A182" s="6" t="s">
        <v>141</v>
      </c>
      <c r="B182" s="6" t="s">
        <v>74</v>
      </c>
      <c r="C182" s="6" t="s">
        <v>130</v>
      </c>
      <c r="D182" s="7" t="str">
        <f t="shared" si="6"/>
        <v>Not Done</v>
      </c>
      <c r="E182" s="6" t="s">
        <v>131</v>
      </c>
      <c r="F182" s="6" t="s">
        <v>132</v>
      </c>
      <c r="G182" s="6" t="str">
        <f t="shared" si="7"/>
        <v>Not Done</v>
      </c>
      <c r="L182">
        <v>4900</v>
      </c>
      <c r="M182" s="8"/>
      <c r="N182" s="8"/>
    </row>
    <row r="183" spans="1:14" x14ac:dyDescent="0.25">
      <c r="A183" s="6" t="s">
        <v>141</v>
      </c>
      <c r="B183" s="6" t="s">
        <v>77</v>
      </c>
      <c r="C183" s="6" t="s">
        <v>130</v>
      </c>
      <c r="D183" s="7" t="str">
        <f t="shared" si="6"/>
        <v>Not Done</v>
      </c>
      <c r="E183" s="6" t="s">
        <v>131</v>
      </c>
      <c r="F183" s="6" t="s">
        <v>132</v>
      </c>
      <c r="G183" s="6" t="str">
        <f t="shared" si="7"/>
        <v>Not Done</v>
      </c>
      <c r="L183">
        <v>9000</v>
      </c>
      <c r="M183" s="8"/>
      <c r="N183" s="8"/>
    </row>
    <row r="184" spans="1:14" x14ac:dyDescent="0.25">
      <c r="A184" s="6" t="s">
        <v>142</v>
      </c>
      <c r="B184" s="6" t="s">
        <v>68</v>
      </c>
      <c r="C184" s="6" t="s">
        <v>130</v>
      </c>
      <c r="D184" s="7" t="str">
        <f t="shared" si="6"/>
        <v>Not Done</v>
      </c>
      <c r="E184" s="6" t="s">
        <v>131</v>
      </c>
      <c r="F184" s="6" t="s">
        <v>132</v>
      </c>
      <c r="G184" s="6" t="str">
        <f t="shared" si="7"/>
        <v>Not Done</v>
      </c>
      <c r="L184">
        <v>180</v>
      </c>
      <c r="M184" s="8"/>
      <c r="N184" s="8"/>
    </row>
    <row r="185" spans="1:14" x14ac:dyDescent="0.25">
      <c r="A185" s="6" t="s">
        <v>143</v>
      </c>
      <c r="B185" s="6" t="s">
        <v>68</v>
      </c>
      <c r="C185" s="6" t="s">
        <v>130</v>
      </c>
      <c r="D185" s="7" t="str">
        <f t="shared" si="6"/>
        <v>Not Done</v>
      </c>
      <c r="E185" s="6" t="s">
        <v>131</v>
      </c>
      <c r="F185" s="6" t="s">
        <v>132</v>
      </c>
      <c r="G185" s="6" t="str">
        <f t="shared" si="7"/>
        <v>Not Done</v>
      </c>
      <c r="L185">
        <v>180</v>
      </c>
      <c r="M185" s="8"/>
      <c r="N185" s="8"/>
    </row>
    <row r="186" spans="1:14" x14ac:dyDescent="0.25">
      <c r="A186" s="6" t="s">
        <v>144</v>
      </c>
      <c r="B186" s="6" t="s">
        <v>59</v>
      </c>
      <c r="C186" s="6" t="s">
        <v>130</v>
      </c>
      <c r="D186" s="7" t="str">
        <f t="shared" si="6"/>
        <v>Not Done</v>
      </c>
      <c r="E186" s="6" t="s">
        <v>131</v>
      </c>
      <c r="F186" s="6" t="s">
        <v>132</v>
      </c>
      <c r="G186" s="6" t="str">
        <f t="shared" si="7"/>
        <v>Not Done</v>
      </c>
      <c r="L186">
        <v>18</v>
      </c>
      <c r="M186" s="8"/>
      <c r="N186" s="8"/>
    </row>
    <row r="187" spans="1:14" x14ac:dyDescent="0.25">
      <c r="A187" s="6" t="s">
        <v>144</v>
      </c>
      <c r="B187" s="6" t="s">
        <v>62</v>
      </c>
      <c r="C187" s="6" t="s">
        <v>130</v>
      </c>
      <c r="D187" s="7" t="str">
        <f t="shared" si="6"/>
        <v>Not Done</v>
      </c>
      <c r="E187" s="6" t="s">
        <v>131</v>
      </c>
      <c r="F187" s="6" t="s">
        <v>132</v>
      </c>
      <c r="G187" s="6" t="str">
        <f t="shared" si="7"/>
        <v>Not Done</v>
      </c>
      <c r="L187">
        <v>45</v>
      </c>
      <c r="M187" s="8"/>
      <c r="N187" s="8"/>
    </row>
    <row r="188" spans="1:14" x14ac:dyDescent="0.25">
      <c r="A188" s="6" t="s">
        <v>144</v>
      </c>
      <c r="B188" s="6" t="s">
        <v>65</v>
      </c>
      <c r="C188" s="6" t="s">
        <v>130</v>
      </c>
      <c r="D188" s="7" t="str">
        <f t="shared" si="6"/>
        <v>Not Done</v>
      </c>
      <c r="E188" s="6" t="s">
        <v>131</v>
      </c>
      <c r="F188" s="6" t="s">
        <v>132</v>
      </c>
      <c r="G188" s="6" t="str">
        <f t="shared" si="7"/>
        <v>Not Done</v>
      </c>
      <c r="L188">
        <v>90</v>
      </c>
      <c r="M188" s="8"/>
      <c r="N188" s="8"/>
    </row>
    <row r="189" spans="1:14" x14ac:dyDescent="0.25">
      <c r="A189" s="6" t="s">
        <v>144</v>
      </c>
      <c r="B189" s="6" t="s">
        <v>68</v>
      </c>
      <c r="C189" s="6" t="s">
        <v>130</v>
      </c>
      <c r="D189" s="7" t="str">
        <f t="shared" si="6"/>
        <v>Not Done</v>
      </c>
      <c r="E189" s="6" t="s">
        <v>131</v>
      </c>
      <c r="F189" s="6" t="s">
        <v>132</v>
      </c>
      <c r="G189" s="6" t="str">
        <f t="shared" si="7"/>
        <v>Not Done</v>
      </c>
      <c r="L189">
        <v>180</v>
      </c>
      <c r="M189" s="8"/>
      <c r="N189" s="8"/>
    </row>
    <row r="190" spans="1:14" x14ac:dyDescent="0.25">
      <c r="A190" s="6" t="s">
        <v>144</v>
      </c>
      <c r="B190" s="6" t="s">
        <v>93</v>
      </c>
      <c r="C190" s="6" t="s">
        <v>130</v>
      </c>
      <c r="D190" s="7" t="str">
        <f t="shared" si="6"/>
        <v>Not Done</v>
      </c>
      <c r="E190" s="6" t="s">
        <v>131</v>
      </c>
      <c r="F190" s="6" t="s">
        <v>132</v>
      </c>
      <c r="G190" s="6" t="str">
        <f t="shared" si="7"/>
        <v>Not Done</v>
      </c>
      <c r="L190">
        <v>450</v>
      </c>
      <c r="M190" s="8"/>
      <c r="N190" s="8"/>
    </row>
    <row r="191" spans="1:14" x14ac:dyDescent="0.25">
      <c r="A191" s="6" t="s">
        <v>144</v>
      </c>
      <c r="B191" s="6" t="s">
        <v>71</v>
      </c>
      <c r="C191" s="6" t="s">
        <v>130</v>
      </c>
      <c r="D191" s="7" t="str">
        <f t="shared" si="6"/>
        <v>Not Done</v>
      </c>
      <c r="E191" s="6" t="s">
        <v>131</v>
      </c>
      <c r="F191" s="6" t="s">
        <v>132</v>
      </c>
      <c r="G191" s="6" t="str">
        <f t="shared" si="7"/>
        <v>Not Done</v>
      </c>
      <c r="L191">
        <v>900</v>
      </c>
      <c r="M191" s="8"/>
      <c r="N191" s="8"/>
    </row>
    <row r="192" spans="1:14" x14ac:dyDescent="0.25">
      <c r="A192" s="6" t="s">
        <v>144</v>
      </c>
      <c r="B192" s="6" t="s">
        <v>98</v>
      </c>
      <c r="C192" s="6" t="s">
        <v>130</v>
      </c>
      <c r="D192" s="7" t="str">
        <f t="shared" si="6"/>
        <v>Not Done</v>
      </c>
      <c r="E192" s="6" t="s">
        <v>131</v>
      </c>
      <c r="F192" s="6" t="s">
        <v>132</v>
      </c>
      <c r="G192" s="6" t="str">
        <f t="shared" si="7"/>
        <v>Not Done</v>
      </c>
      <c r="L192">
        <v>1800</v>
      </c>
      <c r="M192" s="8"/>
      <c r="N192" s="8"/>
    </row>
    <row r="193" spans="1:14" x14ac:dyDescent="0.25">
      <c r="A193" s="6" t="s">
        <v>144</v>
      </c>
      <c r="B193" s="6" t="s">
        <v>74</v>
      </c>
      <c r="C193" s="6" t="s">
        <v>130</v>
      </c>
      <c r="D193" s="7" t="str">
        <f t="shared" si="6"/>
        <v>Not Done</v>
      </c>
      <c r="E193" s="6" t="s">
        <v>131</v>
      </c>
      <c r="F193" s="6" t="s">
        <v>132</v>
      </c>
      <c r="G193" s="6" t="str">
        <f t="shared" si="7"/>
        <v>Not Done</v>
      </c>
      <c r="L193">
        <v>4500</v>
      </c>
      <c r="M193" s="8"/>
      <c r="N193" s="8"/>
    </row>
    <row r="194" spans="1:14" x14ac:dyDescent="0.25">
      <c r="A194" s="6" t="s">
        <v>144</v>
      </c>
      <c r="B194" s="6" t="s">
        <v>77</v>
      </c>
      <c r="C194" s="6" t="s">
        <v>130</v>
      </c>
      <c r="D194" s="7" t="str">
        <f t="shared" si="6"/>
        <v>Not Done</v>
      </c>
      <c r="E194" s="6" t="s">
        <v>131</v>
      </c>
      <c r="F194" s="6" t="s">
        <v>132</v>
      </c>
      <c r="G194" s="6" t="str">
        <f t="shared" si="7"/>
        <v>Not Done</v>
      </c>
      <c r="L194">
        <v>9000</v>
      </c>
      <c r="M194" s="8"/>
      <c r="N194" s="8"/>
    </row>
    <row r="195" spans="1:14" x14ac:dyDescent="0.25">
      <c r="A195" s="6" t="s">
        <v>145</v>
      </c>
      <c r="B195" s="6" t="s">
        <v>68</v>
      </c>
      <c r="C195" s="6" t="s">
        <v>130</v>
      </c>
      <c r="D195" s="7" t="str">
        <f t="shared" si="6"/>
        <v>Not Done</v>
      </c>
      <c r="E195" s="6" t="s">
        <v>131</v>
      </c>
      <c r="F195" s="6" t="s">
        <v>132</v>
      </c>
      <c r="G195" s="6" t="str">
        <f t="shared" si="7"/>
        <v>Not Done</v>
      </c>
      <c r="L195">
        <v>180</v>
      </c>
      <c r="M195" s="8"/>
      <c r="N195" s="8"/>
    </row>
    <row r="196" spans="1:14" x14ac:dyDescent="0.25">
      <c r="A196" s="6" t="s">
        <v>146</v>
      </c>
      <c r="B196" s="6" t="s">
        <v>68</v>
      </c>
      <c r="C196" s="6" t="s">
        <v>130</v>
      </c>
      <c r="D196" s="7" t="str">
        <f t="shared" si="6"/>
        <v>Not Done</v>
      </c>
      <c r="E196" s="6" t="s">
        <v>131</v>
      </c>
      <c r="F196" s="6" t="s">
        <v>132</v>
      </c>
      <c r="G196" s="6" t="str">
        <f t="shared" si="7"/>
        <v>Not Done</v>
      </c>
      <c r="L196">
        <v>180</v>
      </c>
      <c r="M196" s="8"/>
      <c r="N196" s="8"/>
    </row>
    <row r="197" spans="1:14" x14ac:dyDescent="0.25">
      <c r="A197" s="6" t="s">
        <v>147</v>
      </c>
      <c r="B197" s="6" t="s">
        <v>59</v>
      </c>
      <c r="C197" s="6" t="s">
        <v>130</v>
      </c>
      <c r="D197" s="7" t="str">
        <f t="shared" si="6"/>
        <v>Not Done</v>
      </c>
      <c r="E197" s="6" t="s">
        <v>131</v>
      </c>
      <c r="F197" s="6" t="s">
        <v>132</v>
      </c>
      <c r="G197" s="6" t="str">
        <f t="shared" si="7"/>
        <v>Not Done</v>
      </c>
      <c r="L197">
        <v>18</v>
      </c>
      <c r="M197" s="8"/>
      <c r="N197" s="8"/>
    </row>
    <row r="198" spans="1:14" x14ac:dyDescent="0.25">
      <c r="A198" s="6" t="s">
        <v>147</v>
      </c>
      <c r="B198" s="6" t="s">
        <v>62</v>
      </c>
      <c r="C198" s="6" t="s">
        <v>130</v>
      </c>
      <c r="D198" s="7" t="str">
        <f t="shared" si="6"/>
        <v>Not Done</v>
      </c>
      <c r="E198" s="6" t="s">
        <v>131</v>
      </c>
      <c r="F198" s="6" t="s">
        <v>132</v>
      </c>
      <c r="G198" s="6" t="str">
        <f t="shared" si="7"/>
        <v>Not Done</v>
      </c>
      <c r="L198">
        <v>45</v>
      </c>
      <c r="M198" s="8"/>
      <c r="N198" s="8"/>
    </row>
    <row r="199" spans="1:14" x14ac:dyDescent="0.25">
      <c r="A199" s="6" t="s">
        <v>147</v>
      </c>
      <c r="B199" s="6" t="s">
        <v>65</v>
      </c>
      <c r="C199" s="6" t="s">
        <v>130</v>
      </c>
      <c r="D199" s="7" t="str">
        <f t="shared" si="6"/>
        <v>Not Done</v>
      </c>
      <c r="E199" s="6" t="s">
        <v>131</v>
      </c>
      <c r="F199" s="6" t="s">
        <v>132</v>
      </c>
      <c r="G199" s="6" t="str">
        <f t="shared" si="7"/>
        <v>Not Done</v>
      </c>
      <c r="L199">
        <v>90</v>
      </c>
      <c r="M199" s="8"/>
      <c r="N199" s="8"/>
    </row>
    <row r="200" spans="1:14" x14ac:dyDescent="0.25">
      <c r="A200" s="6" t="s">
        <v>147</v>
      </c>
      <c r="B200" s="6" t="s">
        <v>68</v>
      </c>
      <c r="C200" s="6" t="s">
        <v>130</v>
      </c>
      <c r="D200" s="7" t="str">
        <f t="shared" si="6"/>
        <v>Not Done</v>
      </c>
      <c r="E200" s="6" t="s">
        <v>131</v>
      </c>
      <c r="F200" s="6" t="s">
        <v>132</v>
      </c>
      <c r="G200" s="6" t="str">
        <f t="shared" si="7"/>
        <v>Not Done</v>
      </c>
      <c r="L200">
        <v>180</v>
      </c>
      <c r="M200" s="8"/>
      <c r="N200" s="8"/>
    </row>
    <row r="201" spans="1:14" x14ac:dyDescent="0.25">
      <c r="A201" s="6" t="s">
        <v>147</v>
      </c>
      <c r="B201" s="6" t="s">
        <v>93</v>
      </c>
      <c r="C201" s="6" t="s">
        <v>130</v>
      </c>
      <c r="D201" s="7" t="str">
        <f t="shared" si="6"/>
        <v>Not Done</v>
      </c>
      <c r="E201" s="6" t="s">
        <v>131</v>
      </c>
      <c r="F201" s="6" t="s">
        <v>132</v>
      </c>
      <c r="G201" s="6" t="str">
        <f t="shared" si="7"/>
        <v>Not Done</v>
      </c>
      <c r="L201">
        <v>450</v>
      </c>
      <c r="M201" s="8"/>
      <c r="N201" s="8"/>
    </row>
    <row r="202" spans="1:14" x14ac:dyDescent="0.25">
      <c r="A202" s="6" t="s">
        <v>147</v>
      </c>
      <c r="B202" s="6" t="s">
        <v>71</v>
      </c>
      <c r="C202" s="6" t="s">
        <v>130</v>
      </c>
      <c r="D202" s="7" t="str">
        <f t="shared" si="6"/>
        <v>Not Done</v>
      </c>
      <c r="E202" s="6" t="s">
        <v>131</v>
      </c>
      <c r="F202" s="6" t="s">
        <v>132</v>
      </c>
      <c r="G202" s="6" t="str">
        <f t="shared" si="7"/>
        <v>Not Done</v>
      </c>
      <c r="L202">
        <v>900</v>
      </c>
      <c r="M202" s="8"/>
      <c r="N202" s="8"/>
    </row>
    <row r="203" spans="1:14" x14ac:dyDescent="0.25">
      <c r="A203" s="6" t="s">
        <v>147</v>
      </c>
      <c r="B203" s="6" t="s">
        <v>98</v>
      </c>
      <c r="C203" s="6" t="s">
        <v>130</v>
      </c>
      <c r="D203" s="7" t="str">
        <f t="shared" si="6"/>
        <v>Not Done</v>
      </c>
      <c r="E203" s="6" t="s">
        <v>131</v>
      </c>
      <c r="F203" s="6" t="s">
        <v>132</v>
      </c>
      <c r="G203" s="6" t="str">
        <f t="shared" si="7"/>
        <v>Not Done</v>
      </c>
      <c r="L203">
        <v>1800</v>
      </c>
      <c r="M203" s="8"/>
      <c r="N203" s="8"/>
    </row>
    <row r="204" spans="1:14" x14ac:dyDescent="0.25">
      <c r="A204" s="6" t="s">
        <v>147</v>
      </c>
      <c r="B204" s="6" t="s">
        <v>74</v>
      </c>
      <c r="C204" s="6" t="s">
        <v>130</v>
      </c>
      <c r="D204" s="7" t="str">
        <f t="shared" si="6"/>
        <v>Not Done</v>
      </c>
      <c r="E204" s="6" t="s">
        <v>131</v>
      </c>
      <c r="F204" s="6" t="s">
        <v>132</v>
      </c>
      <c r="G204" s="6" t="str">
        <f t="shared" si="7"/>
        <v>Not Done</v>
      </c>
      <c r="L204">
        <v>4500</v>
      </c>
      <c r="M204" s="8"/>
      <c r="N204" s="8"/>
    </row>
    <row r="205" spans="1:14" x14ac:dyDescent="0.25">
      <c r="A205" s="6" t="s">
        <v>147</v>
      </c>
      <c r="B205" s="6" t="s">
        <v>77</v>
      </c>
      <c r="C205" s="6" t="s">
        <v>130</v>
      </c>
      <c r="D205" s="7" t="str">
        <f t="shared" si="6"/>
        <v>Not Done</v>
      </c>
      <c r="E205" s="6" t="s">
        <v>131</v>
      </c>
      <c r="F205" s="6" t="s">
        <v>132</v>
      </c>
      <c r="G205" s="6" t="str">
        <f t="shared" si="7"/>
        <v>Not Done</v>
      </c>
      <c r="L205">
        <v>9000</v>
      </c>
      <c r="M205" s="8"/>
      <c r="N205" s="8"/>
    </row>
    <row r="206" spans="1:14" x14ac:dyDescent="0.25">
      <c r="A206" s="6" t="s">
        <v>148</v>
      </c>
      <c r="B206" s="6" t="s">
        <v>68</v>
      </c>
      <c r="C206" s="6" t="s">
        <v>130</v>
      </c>
      <c r="D206" s="7" t="str">
        <f t="shared" ref="D206:D229" si="8">IFERROR(((M206-L206-A206)/A206),"Not Done")</f>
        <v>Not Done</v>
      </c>
      <c r="E206" s="6" t="s">
        <v>131</v>
      </c>
      <c r="F206" s="6" t="s">
        <v>132</v>
      </c>
      <c r="G206" s="6" t="str">
        <f t="shared" ref="G206:G229" si="9">IF(ISBLANK(N206),"Not Done",IF(AND(D206&lt;=E206,D206&gt;=C206),"Pass","Fail"))</f>
        <v>Not Done</v>
      </c>
      <c r="L206">
        <v>180</v>
      </c>
      <c r="M206" s="8"/>
      <c r="N206" s="8"/>
    </row>
    <row r="207" spans="1:14" x14ac:dyDescent="0.25">
      <c r="A207" s="6" t="s">
        <v>149</v>
      </c>
      <c r="B207" s="6" t="s">
        <v>68</v>
      </c>
      <c r="C207" s="6" t="s">
        <v>130</v>
      </c>
      <c r="D207" s="7" t="str">
        <f t="shared" si="8"/>
        <v>Not Done</v>
      </c>
      <c r="E207" s="6" t="s">
        <v>131</v>
      </c>
      <c r="F207" s="6" t="s">
        <v>132</v>
      </c>
      <c r="G207" s="6" t="str">
        <f t="shared" si="9"/>
        <v>Not Done</v>
      </c>
      <c r="L207">
        <v>180</v>
      </c>
      <c r="M207" s="8"/>
      <c r="N207" s="8"/>
    </row>
    <row r="208" spans="1:14" x14ac:dyDescent="0.25">
      <c r="A208" s="6" t="s">
        <v>150</v>
      </c>
      <c r="B208" s="6" t="s">
        <v>59</v>
      </c>
      <c r="C208" s="6" t="s">
        <v>130</v>
      </c>
      <c r="D208" s="7" t="str">
        <f t="shared" si="8"/>
        <v>Not Done</v>
      </c>
      <c r="E208" s="6" t="s">
        <v>131</v>
      </c>
      <c r="F208" s="6" t="s">
        <v>132</v>
      </c>
      <c r="G208" s="6" t="str">
        <f t="shared" si="9"/>
        <v>Not Done</v>
      </c>
      <c r="L208">
        <v>18</v>
      </c>
      <c r="M208" s="8"/>
      <c r="N208" s="8"/>
    </row>
    <row r="209" spans="1:14" x14ac:dyDescent="0.25">
      <c r="A209" s="6" t="s">
        <v>150</v>
      </c>
      <c r="B209" s="6" t="s">
        <v>62</v>
      </c>
      <c r="C209" s="6" t="s">
        <v>130</v>
      </c>
      <c r="D209" s="7" t="str">
        <f t="shared" si="8"/>
        <v>Not Done</v>
      </c>
      <c r="E209" s="6" t="s">
        <v>131</v>
      </c>
      <c r="F209" s="6" t="s">
        <v>132</v>
      </c>
      <c r="G209" s="6" t="str">
        <f t="shared" si="9"/>
        <v>Not Done</v>
      </c>
      <c r="L209">
        <v>45</v>
      </c>
      <c r="M209" s="8"/>
      <c r="N209" s="8"/>
    </row>
    <row r="210" spans="1:14" x14ac:dyDescent="0.25">
      <c r="A210" s="6" t="s">
        <v>150</v>
      </c>
      <c r="B210" s="6" t="s">
        <v>65</v>
      </c>
      <c r="C210" s="6" t="s">
        <v>130</v>
      </c>
      <c r="D210" s="7" t="str">
        <f t="shared" si="8"/>
        <v>Not Done</v>
      </c>
      <c r="E210" s="6" t="s">
        <v>131</v>
      </c>
      <c r="F210" s="6" t="s">
        <v>132</v>
      </c>
      <c r="G210" s="6" t="str">
        <f t="shared" si="9"/>
        <v>Not Done</v>
      </c>
      <c r="L210">
        <v>90</v>
      </c>
      <c r="M210" s="8"/>
      <c r="N210" s="8"/>
    </row>
    <row r="211" spans="1:14" x14ac:dyDescent="0.25">
      <c r="A211" s="6" t="s">
        <v>150</v>
      </c>
      <c r="B211" s="6" t="s">
        <v>68</v>
      </c>
      <c r="C211" s="6" t="s">
        <v>130</v>
      </c>
      <c r="D211" s="7" t="str">
        <f t="shared" si="8"/>
        <v>Not Done</v>
      </c>
      <c r="E211" s="6" t="s">
        <v>131</v>
      </c>
      <c r="F211" s="6" t="s">
        <v>132</v>
      </c>
      <c r="G211" s="6" t="str">
        <f t="shared" si="9"/>
        <v>Not Done</v>
      </c>
      <c r="L211">
        <v>180</v>
      </c>
      <c r="M211" s="8"/>
      <c r="N211" s="8"/>
    </row>
    <row r="212" spans="1:14" x14ac:dyDescent="0.25">
      <c r="A212" s="6" t="s">
        <v>150</v>
      </c>
      <c r="B212" s="6" t="s">
        <v>93</v>
      </c>
      <c r="C212" s="6" t="s">
        <v>130</v>
      </c>
      <c r="D212" s="7" t="str">
        <f t="shared" si="8"/>
        <v>Not Done</v>
      </c>
      <c r="E212" s="6" t="s">
        <v>131</v>
      </c>
      <c r="F212" s="6" t="s">
        <v>132</v>
      </c>
      <c r="G212" s="6" t="str">
        <f t="shared" si="9"/>
        <v>Not Done</v>
      </c>
      <c r="L212">
        <v>450</v>
      </c>
      <c r="M212" s="8"/>
      <c r="N212" s="8"/>
    </row>
    <row r="213" spans="1:14" x14ac:dyDescent="0.25">
      <c r="A213" s="6" t="s">
        <v>150</v>
      </c>
      <c r="B213" s="6" t="s">
        <v>71</v>
      </c>
      <c r="C213" s="6" t="s">
        <v>130</v>
      </c>
      <c r="D213" s="7" t="str">
        <f t="shared" si="8"/>
        <v>Not Done</v>
      </c>
      <c r="E213" s="6" t="s">
        <v>131</v>
      </c>
      <c r="F213" s="6" t="s">
        <v>132</v>
      </c>
      <c r="G213" s="6" t="str">
        <f t="shared" si="9"/>
        <v>Not Done</v>
      </c>
      <c r="L213">
        <v>900</v>
      </c>
      <c r="M213" s="8"/>
      <c r="N213" s="8"/>
    </row>
    <row r="214" spans="1:14" x14ac:dyDescent="0.25">
      <c r="A214" s="6" t="s">
        <v>150</v>
      </c>
      <c r="B214" s="6" t="s">
        <v>98</v>
      </c>
      <c r="C214" s="6" t="s">
        <v>130</v>
      </c>
      <c r="D214" s="7" t="str">
        <f t="shared" si="8"/>
        <v>Not Done</v>
      </c>
      <c r="E214" s="6" t="s">
        <v>131</v>
      </c>
      <c r="F214" s="6" t="s">
        <v>132</v>
      </c>
      <c r="G214" s="6" t="str">
        <f t="shared" si="9"/>
        <v>Not Done</v>
      </c>
      <c r="L214">
        <v>1800</v>
      </c>
      <c r="M214" s="8"/>
      <c r="N214" s="8"/>
    </row>
    <row r="215" spans="1:14" x14ac:dyDescent="0.25">
      <c r="A215" s="6" t="s">
        <v>150</v>
      </c>
      <c r="B215" s="6" t="s">
        <v>74</v>
      </c>
      <c r="C215" s="6" t="s">
        <v>130</v>
      </c>
      <c r="D215" s="7" t="str">
        <f t="shared" si="8"/>
        <v>Not Done</v>
      </c>
      <c r="E215" s="6" t="s">
        <v>131</v>
      </c>
      <c r="F215" s="6" t="s">
        <v>132</v>
      </c>
      <c r="G215" s="6" t="str">
        <f t="shared" si="9"/>
        <v>Not Done</v>
      </c>
      <c r="L215">
        <v>4500</v>
      </c>
      <c r="M215" s="8"/>
      <c r="N215" s="8"/>
    </row>
    <row r="216" spans="1:14" x14ac:dyDescent="0.25">
      <c r="A216" s="6" t="s">
        <v>150</v>
      </c>
      <c r="B216" s="6" t="s">
        <v>77</v>
      </c>
      <c r="C216" s="6" t="s">
        <v>130</v>
      </c>
      <c r="D216" s="7" t="str">
        <f t="shared" si="8"/>
        <v>Not Done</v>
      </c>
      <c r="E216" s="6" t="s">
        <v>131</v>
      </c>
      <c r="F216" s="6" t="s">
        <v>132</v>
      </c>
      <c r="G216" s="6" t="str">
        <f t="shared" si="9"/>
        <v>Not Done</v>
      </c>
      <c r="L216">
        <v>9000</v>
      </c>
      <c r="M216" s="8"/>
      <c r="N216" s="8"/>
    </row>
    <row r="217" spans="1:14" x14ac:dyDescent="0.25">
      <c r="A217" s="6" t="s">
        <v>151</v>
      </c>
      <c r="B217" s="6" t="s">
        <v>68</v>
      </c>
      <c r="C217" s="6" t="s">
        <v>130</v>
      </c>
      <c r="D217" s="7" t="str">
        <f t="shared" si="8"/>
        <v>Not Done</v>
      </c>
      <c r="E217" s="6" t="s">
        <v>131</v>
      </c>
      <c r="F217" s="6" t="s">
        <v>132</v>
      </c>
      <c r="G217" s="6" t="str">
        <f t="shared" si="9"/>
        <v>Not Done</v>
      </c>
      <c r="L217">
        <v>180</v>
      </c>
      <c r="M217" s="8"/>
      <c r="N217" s="8"/>
    </row>
    <row r="218" spans="1:14" x14ac:dyDescent="0.25">
      <c r="A218" s="6" t="s">
        <v>152</v>
      </c>
      <c r="B218" s="6" t="s">
        <v>68</v>
      </c>
      <c r="C218" s="6" t="s">
        <v>130</v>
      </c>
      <c r="D218" s="7" t="str">
        <f t="shared" si="8"/>
        <v>Not Done</v>
      </c>
      <c r="E218" s="6" t="s">
        <v>131</v>
      </c>
      <c r="F218" s="6" t="s">
        <v>132</v>
      </c>
      <c r="G218" s="6" t="str">
        <f t="shared" si="9"/>
        <v>Not Done</v>
      </c>
      <c r="L218">
        <v>180</v>
      </c>
      <c r="M218" s="8"/>
      <c r="N218" s="8"/>
    </row>
    <row r="219" spans="1:14" x14ac:dyDescent="0.25">
      <c r="A219" s="6" t="s">
        <v>153</v>
      </c>
      <c r="B219" s="6" t="s">
        <v>59</v>
      </c>
      <c r="C219" s="6" t="s">
        <v>130</v>
      </c>
      <c r="D219" s="7" t="str">
        <f t="shared" si="8"/>
        <v>Not Done</v>
      </c>
      <c r="E219" s="6" t="s">
        <v>131</v>
      </c>
      <c r="F219" s="6" t="s">
        <v>132</v>
      </c>
      <c r="G219" s="6" t="str">
        <f t="shared" si="9"/>
        <v>Not Done</v>
      </c>
      <c r="L219">
        <v>18</v>
      </c>
      <c r="M219" s="8"/>
      <c r="N219" s="8"/>
    </row>
    <row r="220" spans="1:14" x14ac:dyDescent="0.25">
      <c r="A220" s="6" t="s">
        <v>153</v>
      </c>
      <c r="B220" s="6" t="s">
        <v>62</v>
      </c>
      <c r="C220" s="6" t="s">
        <v>130</v>
      </c>
      <c r="D220" s="7" t="str">
        <f t="shared" si="8"/>
        <v>Not Done</v>
      </c>
      <c r="E220" s="6" t="s">
        <v>131</v>
      </c>
      <c r="F220" s="6" t="s">
        <v>132</v>
      </c>
      <c r="G220" s="6" t="str">
        <f t="shared" si="9"/>
        <v>Not Done</v>
      </c>
      <c r="L220">
        <v>45</v>
      </c>
      <c r="M220" s="8"/>
      <c r="N220" s="8"/>
    </row>
    <row r="221" spans="1:14" x14ac:dyDescent="0.25">
      <c r="A221" s="6" t="s">
        <v>153</v>
      </c>
      <c r="B221" s="6" t="s">
        <v>65</v>
      </c>
      <c r="C221" s="6" t="s">
        <v>130</v>
      </c>
      <c r="D221" s="7" t="str">
        <f t="shared" si="8"/>
        <v>Not Done</v>
      </c>
      <c r="E221" s="6" t="s">
        <v>131</v>
      </c>
      <c r="F221" s="6" t="s">
        <v>132</v>
      </c>
      <c r="G221" s="6" t="str">
        <f t="shared" si="9"/>
        <v>Not Done</v>
      </c>
      <c r="L221">
        <v>90</v>
      </c>
      <c r="M221" s="8"/>
      <c r="N221" s="8"/>
    </row>
    <row r="222" spans="1:14" x14ac:dyDescent="0.25">
      <c r="A222" s="6" t="s">
        <v>153</v>
      </c>
      <c r="B222" s="6" t="s">
        <v>68</v>
      </c>
      <c r="C222" s="6" t="s">
        <v>130</v>
      </c>
      <c r="D222" s="7" t="str">
        <f t="shared" si="8"/>
        <v>Not Done</v>
      </c>
      <c r="E222" s="6" t="s">
        <v>131</v>
      </c>
      <c r="F222" s="6" t="s">
        <v>132</v>
      </c>
      <c r="G222" s="6" t="str">
        <f t="shared" si="9"/>
        <v>Not Done</v>
      </c>
      <c r="L222">
        <v>180</v>
      </c>
      <c r="M222" s="8"/>
      <c r="N222" s="8"/>
    </row>
    <row r="223" spans="1:14" x14ac:dyDescent="0.25">
      <c r="A223" s="6" t="s">
        <v>153</v>
      </c>
      <c r="B223" s="6" t="s">
        <v>93</v>
      </c>
      <c r="C223" s="6" t="s">
        <v>130</v>
      </c>
      <c r="D223" s="7" t="str">
        <f t="shared" si="8"/>
        <v>Not Done</v>
      </c>
      <c r="E223" s="6" t="s">
        <v>131</v>
      </c>
      <c r="F223" s="6" t="s">
        <v>132</v>
      </c>
      <c r="G223" s="6" t="str">
        <f t="shared" si="9"/>
        <v>Not Done</v>
      </c>
      <c r="L223">
        <v>450</v>
      </c>
      <c r="M223" s="8"/>
      <c r="N223" s="8"/>
    </row>
    <row r="224" spans="1:14" x14ac:dyDescent="0.25">
      <c r="A224" s="6" t="s">
        <v>153</v>
      </c>
      <c r="B224" s="6" t="s">
        <v>71</v>
      </c>
      <c r="C224" s="6" t="s">
        <v>130</v>
      </c>
      <c r="D224" s="7" t="str">
        <f t="shared" si="8"/>
        <v>Not Done</v>
      </c>
      <c r="E224" s="6" t="s">
        <v>131</v>
      </c>
      <c r="F224" s="6" t="s">
        <v>132</v>
      </c>
      <c r="G224" s="6" t="str">
        <f t="shared" si="9"/>
        <v>Not Done</v>
      </c>
      <c r="L224">
        <v>900</v>
      </c>
      <c r="M224" s="8"/>
      <c r="N224" s="8"/>
    </row>
    <row r="225" spans="1:14" x14ac:dyDescent="0.25">
      <c r="A225" s="6" t="s">
        <v>153</v>
      </c>
      <c r="B225" s="6" t="s">
        <v>98</v>
      </c>
      <c r="C225" s="6" t="s">
        <v>130</v>
      </c>
      <c r="D225" s="7" t="str">
        <f t="shared" si="8"/>
        <v>Not Done</v>
      </c>
      <c r="E225" s="6" t="s">
        <v>131</v>
      </c>
      <c r="F225" s="6" t="s">
        <v>132</v>
      </c>
      <c r="G225" s="6" t="str">
        <f t="shared" si="9"/>
        <v>Not Done</v>
      </c>
      <c r="L225">
        <v>1800</v>
      </c>
      <c r="M225" s="8"/>
      <c r="N225" s="8"/>
    </row>
    <row r="226" spans="1:14" x14ac:dyDescent="0.25">
      <c r="A226" s="6" t="s">
        <v>153</v>
      </c>
      <c r="B226" s="6" t="s">
        <v>74</v>
      </c>
      <c r="C226" s="6" t="s">
        <v>130</v>
      </c>
      <c r="D226" s="7" t="str">
        <f t="shared" si="8"/>
        <v>Not Done</v>
      </c>
      <c r="E226" s="6" t="s">
        <v>131</v>
      </c>
      <c r="F226" s="6" t="s">
        <v>132</v>
      </c>
      <c r="G226" s="6" t="str">
        <f t="shared" si="9"/>
        <v>Not Done</v>
      </c>
      <c r="L226">
        <v>4500</v>
      </c>
      <c r="M226" s="8"/>
      <c r="N226" s="8"/>
    </row>
    <row r="227" spans="1:14" x14ac:dyDescent="0.25">
      <c r="A227" s="6" t="s">
        <v>153</v>
      </c>
      <c r="B227" s="6" t="s">
        <v>77</v>
      </c>
      <c r="C227" s="6" t="s">
        <v>130</v>
      </c>
      <c r="D227" s="7" t="str">
        <f t="shared" si="8"/>
        <v>Not Done</v>
      </c>
      <c r="E227" s="6" t="s">
        <v>131</v>
      </c>
      <c r="F227" s="6" t="s">
        <v>132</v>
      </c>
      <c r="G227" s="6" t="str">
        <f t="shared" si="9"/>
        <v>Not Done</v>
      </c>
      <c r="L227">
        <v>9000</v>
      </c>
      <c r="M227" s="8"/>
      <c r="N227" s="8"/>
    </row>
    <row r="228" spans="1:14" x14ac:dyDescent="0.25">
      <c r="A228" s="6" t="s">
        <v>154</v>
      </c>
      <c r="B228" s="6" t="s">
        <v>68</v>
      </c>
      <c r="C228" s="6" t="s">
        <v>130</v>
      </c>
      <c r="D228" s="7" t="str">
        <f t="shared" si="8"/>
        <v>Not Done</v>
      </c>
      <c r="E228" s="6" t="s">
        <v>131</v>
      </c>
      <c r="F228" s="6" t="s">
        <v>132</v>
      </c>
      <c r="G228" s="6" t="str">
        <f t="shared" si="9"/>
        <v>Not Done</v>
      </c>
      <c r="L228">
        <v>180</v>
      </c>
      <c r="M228" s="8"/>
      <c r="N228" s="8"/>
    </row>
    <row r="229" spans="1:14" x14ac:dyDescent="0.25">
      <c r="A229" s="6" t="s">
        <v>155</v>
      </c>
      <c r="B229" s="6" t="s">
        <v>68</v>
      </c>
      <c r="C229" s="6" t="s">
        <v>130</v>
      </c>
      <c r="D229" s="7" t="str">
        <f t="shared" si="8"/>
        <v>Not Done</v>
      </c>
      <c r="E229" s="6" t="s">
        <v>131</v>
      </c>
      <c r="F229" s="6" t="s">
        <v>132</v>
      </c>
      <c r="G229" s="6" t="str">
        <f t="shared" si="9"/>
        <v>Not Done</v>
      </c>
      <c r="L229">
        <v>180</v>
      </c>
      <c r="M229" s="8"/>
      <c r="N229" s="8"/>
    </row>
    <row r="231" spans="1:14" ht="15.75" x14ac:dyDescent="0.25">
      <c r="A231" s="4" t="s">
        <v>156</v>
      </c>
    </row>
    <row r="232" spans="1:14" x14ac:dyDescent="0.25">
      <c r="A232" s="5" t="s">
        <v>25</v>
      </c>
      <c r="B232" s="5" t="s">
        <v>30</v>
      </c>
      <c r="C232" s="5" t="s">
        <v>157</v>
      </c>
      <c r="D232" s="5" t="s">
        <v>31</v>
      </c>
      <c r="E232" s="5" t="s">
        <v>32</v>
      </c>
      <c r="F232" s="5" t="s">
        <v>33</v>
      </c>
      <c r="G232" s="5" t="s">
        <v>34</v>
      </c>
      <c r="H232" s="5" t="s">
        <v>26</v>
      </c>
    </row>
    <row r="233" spans="1:14" x14ac:dyDescent="0.25">
      <c r="A233" s="6" t="s">
        <v>158</v>
      </c>
      <c r="B233" s="6" t="s">
        <v>55</v>
      </c>
      <c r="C233" s="6" t="s">
        <v>159</v>
      </c>
      <c r="D233" s="6">
        <v>895.3</v>
      </c>
      <c r="E233" s="6"/>
      <c r="F233" s="6">
        <v>904.7</v>
      </c>
      <c r="G233" s="6" t="s">
        <v>58</v>
      </c>
      <c r="H233" s="6" t="str">
        <f t="shared" ref="H233:H264" si="10">IF(ISBLANK(E233),"Not Done",IF(AND(E233&lt;=F233,E233&gt;=D233),"Pass","Fail"))</f>
        <v>Not Done</v>
      </c>
    </row>
    <row r="234" spans="1:14" x14ac:dyDescent="0.25">
      <c r="A234" s="6" t="s">
        <v>158</v>
      </c>
      <c r="B234" s="6" t="s">
        <v>55</v>
      </c>
      <c r="C234" s="6" t="s">
        <v>160</v>
      </c>
      <c r="D234" s="6">
        <v>-904.7</v>
      </c>
      <c r="E234" s="6"/>
      <c r="F234" s="6">
        <v>-895.3</v>
      </c>
      <c r="G234" s="6" t="s">
        <v>58</v>
      </c>
      <c r="H234" s="6" t="str">
        <f t="shared" si="10"/>
        <v>Not Done</v>
      </c>
    </row>
    <row r="235" spans="1:14" x14ac:dyDescent="0.25">
      <c r="A235" s="6" t="s">
        <v>158</v>
      </c>
      <c r="B235" s="6" t="s">
        <v>71</v>
      </c>
      <c r="C235" s="6" t="s">
        <v>161</v>
      </c>
      <c r="D235" s="6">
        <v>8.9350000000000005</v>
      </c>
      <c r="E235" s="6"/>
      <c r="F235" s="6">
        <v>9.0649999999999995</v>
      </c>
      <c r="G235" s="6" t="s">
        <v>83</v>
      </c>
      <c r="H235" s="6" t="str">
        <f t="shared" si="10"/>
        <v>Not Done</v>
      </c>
    </row>
    <row r="236" spans="1:14" x14ac:dyDescent="0.25">
      <c r="A236" s="6" t="s">
        <v>158</v>
      </c>
      <c r="B236" s="6" t="s">
        <v>71</v>
      </c>
      <c r="C236" s="6" t="s">
        <v>162</v>
      </c>
      <c r="D236" s="6">
        <v>-9.0649999999999995</v>
      </c>
      <c r="E236" s="6"/>
      <c r="F236" s="6">
        <v>-8.9350000000000005</v>
      </c>
      <c r="G236" s="6" t="s">
        <v>83</v>
      </c>
      <c r="H236" s="6" t="str">
        <f t="shared" si="10"/>
        <v>Not Done</v>
      </c>
    </row>
    <row r="237" spans="1:14" x14ac:dyDescent="0.25">
      <c r="A237" s="6" t="s">
        <v>158</v>
      </c>
      <c r="B237" s="6" t="s">
        <v>74</v>
      </c>
      <c r="C237" s="6" t="s">
        <v>161</v>
      </c>
      <c r="D237" s="6">
        <v>8.8550000000000004</v>
      </c>
      <c r="E237" s="6"/>
      <c r="F237" s="6">
        <v>9.1449999999999996</v>
      </c>
      <c r="G237" s="6" t="s">
        <v>83</v>
      </c>
      <c r="H237" s="6" t="str">
        <f t="shared" si="10"/>
        <v>Not Done</v>
      </c>
    </row>
    <row r="238" spans="1:14" x14ac:dyDescent="0.25">
      <c r="A238" s="6" t="s">
        <v>158</v>
      </c>
      <c r="B238" s="6" t="s">
        <v>74</v>
      </c>
      <c r="C238" s="6" t="s">
        <v>162</v>
      </c>
      <c r="D238" s="6">
        <v>-9.1449999999999996</v>
      </c>
      <c r="E238" s="6"/>
      <c r="F238" s="6">
        <v>-8.8550000000000004</v>
      </c>
      <c r="G238" s="6" t="s">
        <v>83</v>
      </c>
      <c r="H238" s="6" t="str">
        <f t="shared" si="10"/>
        <v>Not Done</v>
      </c>
    </row>
    <row r="239" spans="1:14" x14ac:dyDescent="0.25">
      <c r="A239" s="6" t="s">
        <v>158</v>
      </c>
      <c r="B239" s="6" t="s">
        <v>163</v>
      </c>
      <c r="C239" s="6" t="s">
        <v>164</v>
      </c>
      <c r="D239" s="6">
        <v>98.8</v>
      </c>
      <c r="E239" s="6"/>
      <c r="F239" s="6">
        <v>100.2</v>
      </c>
      <c r="G239" s="6" t="s">
        <v>83</v>
      </c>
      <c r="H239" s="6" t="str">
        <f t="shared" si="10"/>
        <v>Not Done</v>
      </c>
    </row>
    <row r="240" spans="1:14" x14ac:dyDescent="0.25">
      <c r="A240" s="6" t="s">
        <v>158</v>
      </c>
      <c r="B240" s="6" t="s">
        <v>163</v>
      </c>
      <c r="C240" s="6" t="s">
        <v>165</v>
      </c>
      <c r="D240" s="6">
        <v>-100.2</v>
      </c>
      <c r="E240" s="6"/>
      <c r="F240" s="6">
        <v>-98.8</v>
      </c>
      <c r="G240" s="6" t="s">
        <v>83</v>
      </c>
      <c r="H240" s="6" t="str">
        <f t="shared" si="10"/>
        <v>Not Done</v>
      </c>
    </row>
    <row r="241" spans="1:8" x14ac:dyDescent="0.25">
      <c r="A241" s="6" t="s">
        <v>158</v>
      </c>
      <c r="B241" s="6" t="s">
        <v>166</v>
      </c>
      <c r="C241" s="6" t="s">
        <v>167</v>
      </c>
      <c r="D241" s="6">
        <v>8.4</v>
      </c>
      <c r="E241" s="6"/>
      <c r="F241" s="6">
        <v>10.6</v>
      </c>
      <c r="G241" s="6" t="s">
        <v>83</v>
      </c>
      <c r="H241" s="6" t="str">
        <f t="shared" si="10"/>
        <v>Not Done</v>
      </c>
    </row>
    <row r="242" spans="1:8" x14ac:dyDescent="0.25">
      <c r="A242" s="6" t="s">
        <v>158</v>
      </c>
      <c r="B242" s="6" t="s">
        <v>166</v>
      </c>
      <c r="C242" s="6" t="s">
        <v>168</v>
      </c>
      <c r="D242" s="6">
        <v>-10.6</v>
      </c>
      <c r="E242" s="6"/>
      <c r="F242" s="6">
        <v>-8.4</v>
      </c>
      <c r="G242" s="6" t="s">
        <v>83</v>
      </c>
      <c r="H242" s="6" t="str">
        <f t="shared" si="10"/>
        <v>Not Done</v>
      </c>
    </row>
    <row r="243" spans="1:8" x14ac:dyDescent="0.25">
      <c r="A243" s="6" t="s">
        <v>169</v>
      </c>
      <c r="B243" s="6" t="s">
        <v>170</v>
      </c>
      <c r="C243" s="6" t="s">
        <v>159</v>
      </c>
      <c r="D243" s="6">
        <v>895.3</v>
      </c>
      <c r="E243" s="6"/>
      <c r="F243" s="6">
        <v>904.7</v>
      </c>
      <c r="G243" s="6" t="s">
        <v>58</v>
      </c>
      <c r="H243" s="6" t="str">
        <f t="shared" si="10"/>
        <v>Not Done</v>
      </c>
    </row>
    <row r="244" spans="1:8" x14ac:dyDescent="0.25">
      <c r="A244" s="6" t="s">
        <v>169</v>
      </c>
      <c r="B244" s="6" t="s">
        <v>170</v>
      </c>
      <c r="C244" s="6" t="s">
        <v>160</v>
      </c>
      <c r="D244" s="6">
        <v>-904.7</v>
      </c>
      <c r="E244" s="6"/>
      <c r="F244" s="6">
        <v>-895.3</v>
      </c>
      <c r="G244" s="6" t="s">
        <v>58</v>
      </c>
      <c r="H244" s="6" t="str">
        <f t="shared" si="10"/>
        <v>Not Done</v>
      </c>
    </row>
    <row r="245" spans="1:8" x14ac:dyDescent="0.25">
      <c r="A245" s="6" t="s">
        <v>169</v>
      </c>
      <c r="B245" s="6" t="s">
        <v>171</v>
      </c>
      <c r="C245" s="6" t="s">
        <v>172</v>
      </c>
      <c r="D245" s="6">
        <v>4.46</v>
      </c>
      <c r="E245" s="6"/>
      <c r="F245" s="6">
        <v>4.53</v>
      </c>
      <c r="G245" s="6" t="s">
        <v>83</v>
      </c>
      <c r="H245" s="6" t="str">
        <f t="shared" si="10"/>
        <v>Not Done</v>
      </c>
    </row>
    <row r="246" spans="1:8" x14ac:dyDescent="0.25">
      <c r="A246" s="6" t="s">
        <v>169</v>
      </c>
      <c r="B246" s="6" t="s">
        <v>171</v>
      </c>
      <c r="C246" s="6" t="s">
        <v>173</v>
      </c>
      <c r="D246" s="6">
        <v>-4.53</v>
      </c>
      <c r="E246" s="6"/>
      <c r="F246" s="6">
        <v>-4.46</v>
      </c>
      <c r="G246" s="6" t="s">
        <v>83</v>
      </c>
      <c r="H246" s="6" t="str">
        <f t="shared" si="10"/>
        <v>Not Done</v>
      </c>
    </row>
    <row r="247" spans="1:8" x14ac:dyDescent="0.25">
      <c r="A247" s="6" t="s">
        <v>174</v>
      </c>
      <c r="B247" s="6" t="s">
        <v>55</v>
      </c>
      <c r="C247" s="6" t="s">
        <v>159</v>
      </c>
      <c r="D247" s="6">
        <v>895.3</v>
      </c>
      <c r="E247" s="6"/>
      <c r="F247" s="6">
        <v>904.7</v>
      </c>
      <c r="G247" s="6" t="s">
        <v>58</v>
      </c>
      <c r="H247" s="6" t="str">
        <f t="shared" si="10"/>
        <v>Not Done</v>
      </c>
    </row>
    <row r="248" spans="1:8" x14ac:dyDescent="0.25">
      <c r="A248" s="6" t="s">
        <v>174</v>
      </c>
      <c r="B248" s="6" t="s">
        <v>55</v>
      </c>
      <c r="C248" s="6" t="s">
        <v>160</v>
      </c>
      <c r="D248" s="6">
        <v>-904.7</v>
      </c>
      <c r="E248" s="6"/>
      <c r="F248" s="6">
        <v>-895.3</v>
      </c>
      <c r="G248" s="6" t="s">
        <v>58</v>
      </c>
      <c r="H248" s="6" t="str">
        <f t="shared" si="10"/>
        <v>Not Done</v>
      </c>
    </row>
    <row r="249" spans="1:8" x14ac:dyDescent="0.25">
      <c r="A249" s="6" t="s">
        <v>174</v>
      </c>
      <c r="B249" s="6" t="s">
        <v>71</v>
      </c>
      <c r="C249" s="6" t="s">
        <v>161</v>
      </c>
      <c r="D249" s="6">
        <v>8.9350000000000005</v>
      </c>
      <c r="E249" s="6"/>
      <c r="F249" s="6">
        <v>9.0649999999999995</v>
      </c>
      <c r="G249" s="6" t="s">
        <v>83</v>
      </c>
      <c r="H249" s="6" t="str">
        <f t="shared" si="10"/>
        <v>Not Done</v>
      </c>
    </row>
    <row r="250" spans="1:8" x14ac:dyDescent="0.25">
      <c r="A250" s="6" t="s">
        <v>174</v>
      </c>
      <c r="B250" s="6" t="s">
        <v>71</v>
      </c>
      <c r="C250" s="6" t="s">
        <v>162</v>
      </c>
      <c r="D250" s="6">
        <v>-9.0649999999999995</v>
      </c>
      <c r="E250" s="6"/>
      <c r="F250" s="6">
        <v>-8.9350000000000005</v>
      </c>
      <c r="G250" s="6" t="s">
        <v>83</v>
      </c>
      <c r="H250" s="6" t="str">
        <f t="shared" si="10"/>
        <v>Not Done</v>
      </c>
    </row>
    <row r="251" spans="1:8" x14ac:dyDescent="0.25">
      <c r="A251" s="6" t="s">
        <v>174</v>
      </c>
      <c r="B251" s="6" t="s">
        <v>74</v>
      </c>
      <c r="C251" s="6" t="s">
        <v>161</v>
      </c>
      <c r="D251" s="6">
        <v>8.8550000000000004</v>
      </c>
      <c r="E251" s="6"/>
      <c r="F251" s="6">
        <v>9.1449999999999996</v>
      </c>
      <c r="G251" s="6" t="s">
        <v>83</v>
      </c>
      <c r="H251" s="6" t="str">
        <f t="shared" si="10"/>
        <v>Not Done</v>
      </c>
    </row>
    <row r="252" spans="1:8" x14ac:dyDescent="0.25">
      <c r="A252" s="6" t="s">
        <v>174</v>
      </c>
      <c r="B252" s="6" t="s">
        <v>74</v>
      </c>
      <c r="C252" s="6" t="s">
        <v>162</v>
      </c>
      <c r="D252" s="6">
        <v>-9.1449999999999996</v>
      </c>
      <c r="E252" s="6"/>
      <c r="F252" s="6">
        <v>-8.8550000000000004</v>
      </c>
      <c r="G252" s="6" t="s">
        <v>83</v>
      </c>
      <c r="H252" s="6" t="str">
        <f t="shared" si="10"/>
        <v>Not Done</v>
      </c>
    </row>
    <row r="253" spans="1:8" x14ac:dyDescent="0.25">
      <c r="A253" s="6" t="s">
        <v>174</v>
      </c>
      <c r="B253" s="6" t="s">
        <v>163</v>
      </c>
      <c r="C253" s="6" t="s">
        <v>164</v>
      </c>
      <c r="D253" s="6">
        <v>98.8</v>
      </c>
      <c r="E253" s="6"/>
      <c r="F253" s="6">
        <v>100.2</v>
      </c>
      <c r="G253" s="6" t="s">
        <v>83</v>
      </c>
      <c r="H253" s="6" t="str">
        <f t="shared" si="10"/>
        <v>Not Done</v>
      </c>
    </row>
    <row r="254" spans="1:8" x14ac:dyDescent="0.25">
      <c r="A254" s="6" t="s">
        <v>174</v>
      </c>
      <c r="B254" s="6" t="s">
        <v>163</v>
      </c>
      <c r="C254" s="6" t="s">
        <v>165</v>
      </c>
      <c r="D254" s="6">
        <v>-100.2</v>
      </c>
      <c r="E254" s="6"/>
      <c r="F254" s="6">
        <v>-98.8</v>
      </c>
      <c r="G254" s="6" t="s">
        <v>83</v>
      </c>
      <c r="H254" s="6" t="str">
        <f t="shared" si="10"/>
        <v>Not Done</v>
      </c>
    </row>
    <row r="255" spans="1:8" x14ac:dyDescent="0.25">
      <c r="A255" s="6" t="s">
        <v>174</v>
      </c>
      <c r="B255" s="6" t="s">
        <v>166</v>
      </c>
      <c r="C255" s="6" t="s">
        <v>167</v>
      </c>
      <c r="D255" s="6">
        <v>8.4</v>
      </c>
      <c r="E255" s="6"/>
      <c r="F255" s="6">
        <v>10.6</v>
      </c>
      <c r="G255" s="6" t="s">
        <v>83</v>
      </c>
      <c r="H255" s="6" t="str">
        <f t="shared" si="10"/>
        <v>Not Done</v>
      </c>
    </row>
    <row r="256" spans="1:8" x14ac:dyDescent="0.25">
      <c r="A256" s="6" t="s">
        <v>174</v>
      </c>
      <c r="B256" s="6" t="s">
        <v>166</v>
      </c>
      <c r="C256" s="6" t="s">
        <v>168</v>
      </c>
      <c r="D256" s="6">
        <v>-10.6</v>
      </c>
      <c r="E256" s="6"/>
      <c r="F256" s="6">
        <v>-8.4</v>
      </c>
      <c r="G256" s="6" t="s">
        <v>83</v>
      </c>
      <c r="H256" s="6" t="str">
        <f t="shared" si="10"/>
        <v>Not Done</v>
      </c>
    </row>
    <row r="257" spans="1:8" x14ac:dyDescent="0.25">
      <c r="A257" s="6" t="s">
        <v>175</v>
      </c>
      <c r="B257" s="6" t="s">
        <v>170</v>
      </c>
      <c r="C257" s="6" t="s">
        <v>159</v>
      </c>
      <c r="D257" s="6">
        <v>895.3</v>
      </c>
      <c r="E257" s="6"/>
      <c r="F257" s="6">
        <v>904.7</v>
      </c>
      <c r="G257" s="6" t="s">
        <v>58</v>
      </c>
      <c r="H257" s="6" t="str">
        <f t="shared" si="10"/>
        <v>Not Done</v>
      </c>
    </row>
    <row r="258" spans="1:8" x14ac:dyDescent="0.25">
      <c r="A258" s="6" t="s">
        <v>175</v>
      </c>
      <c r="B258" s="6" t="s">
        <v>170</v>
      </c>
      <c r="C258" s="6" t="s">
        <v>160</v>
      </c>
      <c r="D258" s="6">
        <v>-904.7</v>
      </c>
      <c r="E258" s="6"/>
      <c r="F258" s="6">
        <v>-895.3</v>
      </c>
      <c r="G258" s="6" t="s">
        <v>58</v>
      </c>
      <c r="H258" s="6" t="str">
        <f t="shared" si="10"/>
        <v>Not Done</v>
      </c>
    </row>
    <row r="259" spans="1:8" x14ac:dyDescent="0.25">
      <c r="A259" s="6" t="s">
        <v>175</v>
      </c>
      <c r="B259" s="6" t="s">
        <v>171</v>
      </c>
      <c r="C259" s="6" t="s">
        <v>172</v>
      </c>
      <c r="D259" s="6">
        <v>4.46</v>
      </c>
      <c r="E259" s="6"/>
      <c r="F259" s="6">
        <v>4.53</v>
      </c>
      <c r="G259" s="6" t="s">
        <v>83</v>
      </c>
      <c r="H259" s="6" t="str">
        <f t="shared" si="10"/>
        <v>Not Done</v>
      </c>
    </row>
    <row r="260" spans="1:8" x14ac:dyDescent="0.25">
      <c r="A260" s="6" t="s">
        <v>175</v>
      </c>
      <c r="B260" s="6" t="s">
        <v>171</v>
      </c>
      <c r="C260" s="6" t="s">
        <v>173</v>
      </c>
      <c r="D260" s="6">
        <v>-4.53</v>
      </c>
      <c r="E260" s="6"/>
      <c r="F260" s="6">
        <v>-4.46</v>
      </c>
      <c r="G260" s="6" t="s">
        <v>83</v>
      </c>
      <c r="H260" s="6" t="str">
        <f t="shared" si="10"/>
        <v>Not Done</v>
      </c>
    </row>
    <row r="261" spans="1:8" x14ac:dyDescent="0.25">
      <c r="A261" s="6" t="s">
        <v>176</v>
      </c>
      <c r="B261" s="6" t="s">
        <v>55</v>
      </c>
      <c r="C261" s="6" t="s">
        <v>159</v>
      </c>
      <c r="D261" s="6">
        <v>895.3</v>
      </c>
      <c r="E261" s="6"/>
      <c r="F261" s="6">
        <v>904.7</v>
      </c>
      <c r="G261" s="6" t="s">
        <v>58</v>
      </c>
      <c r="H261" s="6" t="str">
        <f t="shared" si="10"/>
        <v>Not Done</v>
      </c>
    </row>
    <row r="262" spans="1:8" x14ac:dyDescent="0.25">
      <c r="A262" s="6" t="s">
        <v>176</v>
      </c>
      <c r="B262" s="6" t="s">
        <v>55</v>
      </c>
      <c r="C262" s="6" t="s">
        <v>160</v>
      </c>
      <c r="D262" s="6">
        <v>-904.7</v>
      </c>
      <c r="E262" s="6"/>
      <c r="F262" s="6">
        <v>-895.3</v>
      </c>
      <c r="G262" s="6" t="s">
        <v>58</v>
      </c>
      <c r="H262" s="6" t="str">
        <f t="shared" si="10"/>
        <v>Not Done</v>
      </c>
    </row>
    <row r="263" spans="1:8" x14ac:dyDescent="0.25">
      <c r="A263" s="6" t="s">
        <v>176</v>
      </c>
      <c r="B263" s="6" t="s">
        <v>71</v>
      </c>
      <c r="C263" s="6" t="s">
        <v>161</v>
      </c>
      <c r="D263" s="6">
        <v>8.9350000000000005</v>
      </c>
      <c r="E263" s="6"/>
      <c r="F263" s="6">
        <v>9.0649999999999995</v>
      </c>
      <c r="G263" s="6" t="s">
        <v>83</v>
      </c>
      <c r="H263" s="6" t="str">
        <f t="shared" si="10"/>
        <v>Not Done</v>
      </c>
    </row>
    <row r="264" spans="1:8" x14ac:dyDescent="0.25">
      <c r="A264" s="6" t="s">
        <v>176</v>
      </c>
      <c r="B264" s="6" t="s">
        <v>71</v>
      </c>
      <c r="C264" s="6" t="s">
        <v>162</v>
      </c>
      <c r="D264" s="6">
        <v>-9.0649999999999995</v>
      </c>
      <c r="E264" s="6"/>
      <c r="F264" s="6">
        <v>-8.9350000000000005</v>
      </c>
      <c r="G264" s="6" t="s">
        <v>83</v>
      </c>
      <c r="H264" s="6" t="str">
        <f t="shared" si="10"/>
        <v>Not Done</v>
      </c>
    </row>
    <row r="265" spans="1:8" x14ac:dyDescent="0.25">
      <c r="A265" s="6" t="s">
        <v>176</v>
      </c>
      <c r="B265" s="6" t="s">
        <v>74</v>
      </c>
      <c r="C265" s="6" t="s">
        <v>161</v>
      </c>
      <c r="D265" s="6">
        <v>8.8550000000000004</v>
      </c>
      <c r="E265" s="6"/>
      <c r="F265" s="6">
        <v>9.1449999999999996</v>
      </c>
      <c r="G265" s="6" t="s">
        <v>83</v>
      </c>
      <c r="H265" s="6" t="str">
        <f t="shared" ref="H265:H288" si="11">IF(ISBLANK(E265),"Not Done",IF(AND(E265&lt;=F265,E265&gt;=D265),"Pass","Fail"))</f>
        <v>Not Done</v>
      </c>
    </row>
    <row r="266" spans="1:8" x14ac:dyDescent="0.25">
      <c r="A266" s="6" t="s">
        <v>176</v>
      </c>
      <c r="B266" s="6" t="s">
        <v>74</v>
      </c>
      <c r="C266" s="6" t="s">
        <v>162</v>
      </c>
      <c r="D266" s="6">
        <v>-9.1449999999999996</v>
      </c>
      <c r="E266" s="6"/>
      <c r="F266" s="6">
        <v>-8.8550000000000004</v>
      </c>
      <c r="G266" s="6" t="s">
        <v>83</v>
      </c>
      <c r="H266" s="6" t="str">
        <f t="shared" si="11"/>
        <v>Not Done</v>
      </c>
    </row>
    <row r="267" spans="1:8" x14ac:dyDescent="0.25">
      <c r="A267" s="6" t="s">
        <v>176</v>
      </c>
      <c r="B267" s="6" t="s">
        <v>163</v>
      </c>
      <c r="C267" s="6" t="s">
        <v>164</v>
      </c>
      <c r="D267" s="6">
        <v>98.8</v>
      </c>
      <c r="E267" s="6"/>
      <c r="F267" s="6">
        <v>100.2</v>
      </c>
      <c r="G267" s="6" t="s">
        <v>83</v>
      </c>
      <c r="H267" s="6" t="str">
        <f t="shared" si="11"/>
        <v>Not Done</v>
      </c>
    </row>
    <row r="268" spans="1:8" x14ac:dyDescent="0.25">
      <c r="A268" s="6" t="s">
        <v>176</v>
      </c>
      <c r="B268" s="6" t="s">
        <v>163</v>
      </c>
      <c r="C268" s="6" t="s">
        <v>165</v>
      </c>
      <c r="D268" s="6">
        <v>-100.2</v>
      </c>
      <c r="E268" s="6"/>
      <c r="F268" s="6">
        <v>-98.8</v>
      </c>
      <c r="G268" s="6" t="s">
        <v>83</v>
      </c>
      <c r="H268" s="6" t="str">
        <f t="shared" si="11"/>
        <v>Not Done</v>
      </c>
    </row>
    <row r="269" spans="1:8" x14ac:dyDescent="0.25">
      <c r="A269" s="6" t="s">
        <v>176</v>
      </c>
      <c r="B269" s="6" t="s">
        <v>166</v>
      </c>
      <c r="C269" s="6" t="s">
        <v>167</v>
      </c>
      <c r="D269" s="6">
        <v>8.4</v>
      </c>
      <c r="E269" s="6"/>
      <c r="F269" s="6">
        <v>10.6</v>
      </c>
      <c r="G269" s="6" t="s">
        <v>83</v>
      </c>
      <c r="H269" s="6" t="str">
        <f t="shared" si="11"/>
        <v>Not Done</v>
      </c>
    </row>
    <row r="270" spans="1:8" x14ac:dyDescent="0.25">
      <c r="A270" s="6" t="s">
        <v>176</v>
      </c>
      <c r="B270" s="6" t="s">
        <v>166</v>
      </c>
      <c r="C270" s="6" t="s">
        <v>168</v>
      </c>
      <c r="D270" s="6">
        <v>-10.6</v>
      </c>
      <c r="E270" s="6"/>
      <c r="F270" s="6">
        <v>-8.4</v>
      </c>
      <c r="G270" s="6" t="s">
        <v>83</v>
      </c>
      <c r="H270" s="6" t="str">
        <f t="shared" si="11"/>
        <v>Not Done</v>
      </c>
    </row>
    <row r="271" spans="1:8" x14ac:dyDescent="0.25">
      <c r="A271" s="6" t="s">
        <v>177</v>
      </c>
      <c r="B271" s="6" t="s">
        <v>170</v>
      </c>
      <c r="C271" s="6" t="s">
        <v>159</v>
      </c>
      <c r="D271" s="6">
        <v>895.3</v>
      </c>
      <c r="E271" s="6"/>
      <c r="F271" s="6">
        <v>904.7</v>
      </c>
      <c r="G271" s="6" t="s">
        <v>58</v>
      </c>
      <c r="H271" s="6" t="str">
        <f t="shared" si="11"/>
        <v>Not Done</v>
      </c>
    </row>
    <row r="272" spans="1:8" x14ac:dyDescent="0.25">
      <c r="A272" s="6" t="s">
        <v>177</v>
      </c>
      <c r="B272" s="6" t="s">
        <v>170</v>
      </c>
      <c r="C272" s="6" t="s">
        <v>160</v>
      </c>
      <c r="D272" s="6">
        <v>-904.7</v>
      </c>
      <c r="E272" s="6"/>
      <c r="F272" s="6">
        <v>-895.3</v>
      </c>
      <c r="G272" s="6" t="s">
        <v>58</v>
      </c>
      <c r="H272" s="6" t="str">
        <f t="shared" si="11"/>
        <v>Not Done</v>
      </c>
    </row>
    <row r="273" spans="1:8" x14ac:dyDescent="0.25">
      <c r="A273" s="6" t="s">
        <v>177</v>
      </c>
      <c r="B273" s="6" t="s">
        <v>171</v>
      </c>
      <c r="C273" s="6" t="s">
        <v>172</v>
      </c>
      <c r="D273" s="6">
        <v>4.4649999999999999</v>
      </c>
      <c r="E273" s="6"/>
      <c r="F273" s="6">
        <v>4.53</v>
      </c>
      <c r="G273" s="6" t="s">
        <v>83</v>
      </c>
      <c r="H273" s="6" t="str">
        <f t="shared" si="11"/>
        <v>Not Done</v>
      </c>
    </row>
    <row r="274" spans="1:8" x14ac:dyDescent="0.25">
      <c r="A274" s="6" t="s">
        <v>177</v>
      </c>
      <c r="B274" s="6" t="s">
        <v>171</v>
      </c>
      <c r="C274" s="6" t="s">
        <v>173</v>
      </c>
      <c r="D274" s="6">
        <v>-4.53</v>
      </c>
      <c r="E274" s="6"/>
      <c r="F274" s="6">
        <v>-4.46</v>
      </c>
      <c r="G274" s="6" t="s">
        <v>83</v>
      </c>
      <c r="H274" s="6" t="str">
        <f t="shared" si="11"/>
        <v>Not Done</v>
      </c>
    </row>
    <row r="275" spans="1:8" x14ac:dyDescent="0.25">
      <c r="A275" s="6" t="s">
        <v>178</v>
      </c>
      <c r="B275" s="6" t="s">
        <v>55</v>
      </c>
      <c r="C275" s="6" t="s">
        <v>159</v>
      </c>
      <c r="D275" s="6">
        <v>895.3</v>
      </c>
      <c r="E275" s="6"/>
      <c r="F275" s="6">
        <v>904.7</v>
      </c>
      <c r="G275" s="6" t="s">
        <v>58</v>
      </c>
      <c r="H275" s="6" t="str">
        <f t="shared" si="11"/>
        <v>Not Done</v>
      </c>
    </row>
    <row r="276" spans="1:8" x14ac:dyDescent="0.25">
      <c r="A276" s="6" t="s">
        <v>178</v>
      </c>
      <c r="B276" s="6" t="s">
        <v>55</v>
      </c>
      <c r="C276" s="6" t="s">
        <v>160</v>
      </c>
      <c r="D276" s="6">
        <v>-904.7</v>
      </c>
      <c r="E276" s="6"/>
      <c r="F276" s="6">
        <v>-895.3</v>
      </c>
      <c r="G276" s="6" t="s">
        <v>58</v>
      </c>
      <c r="H276" s="6" t="str">
        <f t="shared" si="11"/>
        <v>Not Done</v>
      </c>
    </row>
    <row r="277" spans="1:8" x14ac:dyDescent="0.25">
      <c r="A277" s="6" t="s">
        <v>178</v>
      </c>
      <c r="B277" s="6" t="s">
        <v>71</v>
      </c>
      <c r="C277" s="6" t="s">
        <v>161</v>
      </c>
      <c r="D277" s="6">
        <v>8.9350000000000005</v>
      </c>
      <c r="E277" s="6"/>
      <c r="F277" s="6">
        <v>9.0649999999999995</v>
      </c>
      <c r="G277" s="6" t="s">
        <v>83</v>
      </c>
      <c r="H277" s="6" t="str">
        <f t="shared" si="11"/>
        <v>Not Done</v>
      </c>
    </row>
    <row r="278" spans="1:8" x14ac:dyDescent="0.25">
      <c r="A278" s="6" t="s">
        <v>178</v>
      </c>
      <c r="B278" s="6" t="s">
        <v>71</v>
      </c>
      <c r="C278" s="6" t="s">
        <v>162</v>
      </c>
      <c r="D278" s="6">
        <v>-9.0649999999999995</v>
      </c>
      <c r="E278" s="6"/>
      <c r="F278" s="6">
        <v>-8.9350000000000005</v>
      </c>
      <c r="G278" s="6" t="s">
        <v>83</v>
      </c>
      <c r="H278" s="6" t="str">
        <f t="shared" si="11"/>
        <v>Not Done</v>
      </c>
    </row>
    <row r="279" spans="1:8" x14ac:dyDescent="0.25">
      <c r="A279" s="6" t="s">
        <v>178</v>
      </c>
      <c r="B279" s="6" t="s">
        <v>74</v>
      </c>
      <c r="C279" s="6" t="s">
        <v>161</v>
      </c>
      <c r="D279" s="6">
        <v>8.8550000000000004</v>
      </c>
      <c r="E279" s="6"/>
      <c r="F279" s="6">
        <v>9.1449999999999996</v>
      </c>
      <c r="G279" s="6" t="s">
        <v>83</v>
      </c>
      <c r="H279" s="6" t="str">
        <f t="shared" si="11"/>
        <v>Not Done</v>
      </c>
    </row>
    <row r="280" spans="1:8" x14ac:dyDescent="0.25">
      <c r="A280" s="6" t="s">
        <v>178</v>
      </c>
      <c r="B280" s="6" t="s">
        <v>74</v>
      </c>
      <c r="C280" s="6" t="s">
        <v>162</v>
      </c>
      <c r="D280" s="6">
        <v>-9.1449999999999996</v>
      </c>
      <c r="E280" s="6"/>
      <c r="F280" s="6">
        <v>-8.8550000000000004</v>
      </c>
      <c r="G280" s="6" t="s">
        <v>83</v>
      </c>
      <c r="H280" s="6" t="str">
        <f t="shared" si="11"/>
        <v>Not Done</v>
      </c>
    </row>
    <row r="281" spans="1:8" x14ac:dyDescent="0.25">
      <c r="A281" s="6" t="s">
        <v>178</v>
      </c>
      <c r="B281" s="6" t="s">
        <v>163</v>
      </c>
      <c r="C281" s="6" t="s">
        <v>164</v>
      </c>
      <c r="D281" s="6">
        <v>98.8</v>
      </c>
      <c r="E281" s="6"/>
      <c r="F281" s="6">
        <v>100.2</v>
      </c>
      <c r="G281" s="6" t="s">
        <v>83</v>
      </c>
      <c r="H281" s="6" t="str">
        <f t="shared" si="11"/>
        <v>Not Done</v>
      </c>
    </row>
    <row r="282" spans="1:8" x14ac:dyDescent="0.25">
      <c r="A282" s="6" t="s">
        <v>178</v>
      </c>
      <c r="B282" s="6" t="s">
        <v>163</v>
      </c>
      <c r="C282" s="6" t="s">
        <v>165</v>
      </c>
      <c r="D282" s="6">
        <v>-100.2</v>
      </c>
      <c r="E282" s="6"/>
      <c r="F282" s="6">
        <v>-98.8</v>
      </c>
      <c r="G282" s="6" t="s">
        <v>83</v>
      </c>
      <c r="H282" s="6" t="str">
        <f t="shared" si="11"/>
        <v>Not Done</v>
      </c>
    </row>
    <row r="283" spans="1:8" x14ac:dyDescent="0.25">
      <c r="A283" s="6" t="s">
        <v>178</v>
      </c>
      <c r="B283" s="6" t="s">
        <v>166</v>
      </c>
      <c r="C283" s="6" t="s">
        <v>167</v>
      </c>
      <c r="D283" s="6">
        <v>8.4</v>
      </c>
      <c r="E283" s="6"/>
      <c r="F283" s="6">
        <v>10.6</v>
      </c>
      <c r="G283" s="6" t="s">
        <v>83</v>
      </c>
      <c r="H283" s="6" t="str">
        <f t="shared" si="11"/>
        <v>Not Done</v>
      </c>
    </row>
    <row r="284" spans="1:8" x14ac:dyDescent="0.25">
      <c r="A284" s="6" t="s">
        <v>178</v>
      </c>
      <c r="B284" s="6" t="s">
        <v>166</v>
      </c>
      <c r="C284" s="6" t="s">
        <v>168</v>
      </c>
      <c r="D284" s="6">
        <v>-10.6</v>
      </c>
      <c r="E284" s="6"/>
      <c r="F284" s="6">
        <v>-8.4</v>
      </c>
      <c r="G284" s="6" t="s">
        <v>83</v>
      </c>
      <c r="H284" s="6" t="str">
        <f t="shared" si="11"/>
        <v>Not Done</v>
      </c>
    </row>
    <row r="285" spans="1:8" x14ac:dyDescent="0.25">
      <c r="A285" s="6" t="s">
        <v>179</v>
      </c>
      <c r="B285" s="6" t="s">
        <v>170</v>
      </c>
      <c r="C285" s="6" t="s">
        <v>159</v>
      </c>
      <c r="D285" s="6">
        <v>895.3</v>
      </c>
      <c r="E285" s="6"/>
      <c r="F285" s="6">
        <v>904.7</v>
      </c>
      <c r="G285" s="6" t="s">
        <v>58</v>
      </c>
      <c r="H285" s="6" t="str">
        <f t="shared" si="11"/>
        <v>Not Done</v>
      </c>
    </row>
    <row r="286" spans="1:8" x14ac:dyDescent="0.25">
      <c r="A286" s="6" t="s">
        <v>179</v>
      </c>
      <c r="B286" s="6" t="s">
        <v>170</v>
      </c>
      <c r="C286" s="6" t="s">
        <v>160</v>
      </c>
      <c r="D286" s="6">
        <v>-904.7</v>
      </c>
      <c r="E286" s="6"/>
      <c r="F286" s="6">
        <v>-895.3</v>
      </c>
      <c r="G286" s="6" t="s">
        <v>58</v>
      </c>
      <c r="H286" s="6" t="str">
        <f t="shared" si="11"/>
        <v>Not Done</v>
      </c>
    </row>
    <row r="287" spans="1:8" x14ac:dyDescent="0.25">
      <c r="A287" s="6" t="s">
        <v>179</v>
      </c>
      <c r="B287" s="6" t="s">
        <v>171</v>
      </c>
      <c r="C287" s="6" t="s">
        <v>172</v>
      </c>
      <c r="D287" s="6">
        <v>4.46</v>
      </c>
      <c r="E287" s="6"/>
      <c r="F287" s="6">
        <v>4.53</v>
      </c>
      <c r="G287" s="6" t="s">
        <v>83</v>
      </c>
      <c r="H287" s="6" t="str">
        <f t="shared" si="11"/>
        <v>Not Done</v>
      </c>
    </row>
    <row r="288" spans="1:8" x14ac:dyDescent="0.25">
      <c r="A288" s="6" t="s">
        <v>179</v>
      </c>
      <c r="B288" s="6" t="s">
        <v>171</v>
      </c>
      <c r="C288" s="6" t="s">
        <v>173</v>
      </c>
      <c r="D288" s="6">
        <v>-4.53</v>
      </c>
      <c r="E288" s="6"/>
      <c r="F288" s="6">
        <v>-4.46</v>
      </c>
      <c r="G288" s="6" t="s">
        <v>83</v>
      </c>
      <c r="H288" s="6" t="str">
        <f t="shared" si="11"/>
        <v>Not Done</v>
      </c>
    </row>
    <row r="290" spans="1:8" ht="15.75" x14ac:dyDescent="0.25">
      <c r="A290" s="4" t="s">
        <v>180</v>
      </c>
    </row>
    <row r="291" spans="1:8" x14ac:dyDescent="0.25">
      <c r="A291" s="5" t="s">
        <v>25</v>
      </c>
      <c r="B291" s="5" t="s">
        <v>181</v>
      </c>
      <c r="C291" s="5" t="s">
        <v>182</v>
      </c>
      <c r="D291" s="5" t="s">
        <v>183</v>
      </c>
      <c r="E291" s="5" t="s">
        <v>31</v>
      </c>
      <c r="F291" s="5" t="s">
        <v>32</v>
      </c>
      <c r="G291" s="5" t="s">
        <v>34</v>
      </c>
      <c r="H291" s="5" t="s">
        <v>26</v>
      </c>
    </row>
    <row r="292" spans="1:8" x14ac:dyDescent="0.25">
      <c r="A292" s="6" t="s">
        <v>184</v>
      </c>
      <c r="B292" s="6" t="s">
        <v>185</v>
      </c>
      <c r="C292" s="6"/>
      <c r="D292" s="6"/>
      <c r="E292" s="6">
        <v>0.70699999999999996</v>
      </c>
      <c r="F292" s="9" t="str">
        <f>IFERROR((D292/C292),"Not Done")</f>
        <v>Not Done</v>
      </c>
      <c r="G292" s="6"/>
      <c r="H292" s="6" t="str">
        <f>IF(ISBLANK(D292),"Not Done",IF(F292&gt;=E292,"Pass","Fail"))</f>
        <v>Not Done</v>
      </c>
    </row>
    <row r="293" spans="1:8" x14ac:dyDescent="0.25">
      <c r="A293" s="6" t="s">
        <v>186</v>
      </c>
      <c r="B293" s="6" t="s">
        <v>185</v>
      </c>
      <c r="C293" s="6"/>
      <c r="D293" s="6"/>
      <c r="E293" s="6">
        <v>0.70699999999999996</v>
      </c>
      <c r="F293" s="9" t="str">
        <f>IFERROR((D293/C293),"Not Done")</f>
        <v>Not Done</v>
      </c>
      <c r="G293" s="6"/>
      <c r="H293" s="6" t="str">
        <f>IF(ISBLANK(D293),"Not Done",IF(F293&gt;=E293,"Pass","Fail"))</f>
        <v>Not Done</v>
      </c>
    </row>
    <row r="294" spans="1:8" x14ac:dyDescent="0.25">
      <c r="A294" s="6" t="s">
        <v>187</v>
      </c>
      <c r="B294" s="6" t="s">
        <v>185</v>
      </c>
      <c r="C294" s="6"/>
      <c r="D294" s="6"/>
      <c r="E294" s="6">
        <v>0.70699999999999996</v>
      </c>
      <c r="F294" s="9" t="str">
        <f>IFERROR((D294/C294),"Not Done")</f>
        <v>Not Done</v>
      </c>
      <c r="G294" s="6"/>
      <c r="H294" s="6" t="str">
        <f>IF(ISBLANK(D294),"Not Done",IF(F294&gt;=E294,"Pass","Fail"))</f>
        <v>Not Done</v>
      </c>
    </row>
    <row r="295" spans="1:8" x14ac:dyDescent="0.25">
      <c r="A295" s="6" t="s">
        <v>188</v>
      </c>
      <c r="B295" s="6" t="s">
        <v>185</v>
      </c>
      <c r="C295" s="6"/>
      <c r="D295" s="6"/>
      <c r="E295" s="6">
        <v>0.70699999999999996</v>
      </c>
      <c r="F295" s="9" t="str">
        <f>IFERROR((D295/C295),"Not Done")</f>
        <v>Not Done</v>
      </c>
      <c r="G295" s="6"/>
      <c r="H295" s="6" t="str">
        <f>IF(ISBLANK(D295),"Not Done",IF(F295&gt;=E295,"Pass","Fail"))</f>
        <v>Not Done</v>
      </c>
    </row>
    <row r="297" spans="1:8" ht="15.75" x14ac:dyDescent="0.25">
      <c r="A297" s="4" t="s">
        <v>189</v>
      </c>
    </row>
    <row r="298" spans="1:8" x14ac:dyDescent="0.25">
      <c r="A298" s="5" t="s">
        <v>25</v>
      </c>
      <c r="B298" s="5" t="s">
        <v>190</v>
      </c>
      <c r="C298" s="5" t="s">
        <v>191</v>
      </c>
      <c r="D298" s="5" t="s">
        <v>32</v>
      </c>
      <c r="E298" s="5" t="s">
        <v>33</v>
      </c>
      <c r="F298" s="5" t="s">
        <v>34</v>
      </c>
      <c r="G298" s="5" t="s">
        <v>26</v>
      </c>
    </row>
    <row r="299" spans="1:8" x14ac:dyDescent="0.25">
      <c r="A299" s="6" t="s">
        <v>192</v>
      </c>
      <c r="B299" s="6" t="s">
        <v>193</v>
      </c>
      <c r="C299" s="6" t="s">
        <v>194</v>
      </c>
      <c r="D299" s="6"/>
      <c r="E299" s="6">
        <v>4.5</v>
      </c>
      <c r="F299" s="6" t="s">
        <v>58</v>
      </c>
      <c r="G299" s="6" t="str">
        <f t="shared" ref="G299:G322" si="12">IF(ISBLANK(D299),"Not Done",IF(D299&lt;=E299,"Pass","Fail"))</f>
        <v>Not Done</v>
      </c>
    </row>
    <row r="300" spans="1:8" x14ac:dyDescent="0.25">
      <c r="A300" s="6" t="s">
        <v>192</v>
      </c>
      <c r="B300" s="6" t="s">
        <v>195</v>
      </c>
      <c r="C300" s="6" t="s">
        <v>194</v>
      </c>
      <c r="D300" s="6"/>
      <c r="E300" s="6">
        <v>3.8</v>
      </c>
      <c r="F300" s="6" t="s">
        <v>58</v>
      </c>
      <c r="G300" s="6" t="str">
        <f t="shared" si="12"/>
        <v>Not Done</v>
      </c>
    </row>
    <row r="301" spans="1:8" x14ac:dyDescent="0.25">
      <c r="A301" s="6" t="s">
        <v>192</v>
      </c>
      <c r="B301" s="6" t="s">
        <v>196</v>
      </c>
      <c r="C301" s="6" t="s">
        <v>194</v>
      </c>
      <c r="D301" s="6"/>
      <c r="E301" s="6">
        <v>4</v>
      </c>
      <c r="F301" s="6" t="s">
        <v>58</v>
      </c>
      <c r="G301" s="6" t="str">
        <f t="shared" si="12"/>
        <v>Not Done</v>
      </c>
    </row>
    <row r="302" spans="1:8" x14ac:dyDescent="0.25">
      <c r="A302" s="6" t="s">
        <v>192</v>
      </c>
      <c r="B302" s="6" t="s">
        <v>193</v>
      </c>
      <c r="C302" s="6" t="s">
        <v>197</v>
      </c>
      <c r="D302" s="6"/>
      <c r="E302" s="6">
        <v>4.5</v>
      </c>
      <c r="F302" s="6" t="s">
        <v>58</v>
      </c>
      <c r="G302" s="6" t="str">
        <f t="shared" si="12"/>
        <v>Not Done</v>
      </c>
    </row>
    <row r="303" spans="1:8" x14ac:dyDescent="0.25">
      <c r="A303" s="6" t="s">
        <v>192</v>
      </c>
      <c r="B303" s="6" t="s">
        <v>195</v>
      </c>
      <c r="C303" s="6" t="s">
        <v>197</v>
      </c>
      <c r="D303" s="6"/>
      <c r="E303" s="6">
        <v>3.7</v>
      </c>
      <c r="F303" s="6" t="s">
        <v>58</v>
      </c>
      <c r="G303" s="6" t="str">
        <f t="shared" si="12"/>
        <v>Not Done</v>
      </c>
    </row>
    <row r="304" spans="1:8" x14ac:dyDescent="0.25">
      <c r="A304" s="6" t="s">
        <v>192</v>
      </c>
      <c r="B304" s="6" t="s">
        <v>196</v>
      </c>
      <c r="C304" s="6" t="s">
        <v>197</v>
      </c>
      <c r="D304" s="6"/>
      <c r="E304" s="6">
        <v>3</v>
      </c>
      <c r="F304" s="6" t="s">
        <v>58</v>
      </c>
      <c r="G304" s="6" t="str">
        <f t="shared" si="12"/>
        <v>Not Done</v>
      </c>
    </row>
    <row r="305" spans="1:7" x14ac:dyDescent="0.25">
      <c r="A305" s="6" t="s">
        <v>198</v>
      </c>
      <c r="B305" s="6" t="s">
        <v>193</v>
      </c>
      <c r="C305" s="6" t="s">
        <v>194</v>
      </c>
      <c r="D305" s="6"/>
      <c r="E305" s="6">
        <v>4.5</v>
      </c>
      <c r="F305" s="6" t="s">
        <v>58</v>
      </c>
      <c r="G305" s="6" t="str">
        <f t="shared" si="12"/>
        <v>Not Done</v>
      </c>
    </row>
    <row r="306" spans="1:7" x14ac:dyDescent="0.25">
      <c r="A306" s="6" t="s">
        <v>198</v>
      </c>
      <c r="B306" s="6" t="s">
        <v>195</v>
      </c>
      <c r="C306" s="6" t="s">
        <v>194</v>
      </c>
      <c r="D306" s="6"/>
      <c r="E306" s="6">
        <v>3.8</v>
      </c>
      <c r="F306" s="6" t="s">
        <v>58</v>
      </c>
      <c r="G306" s="6" t="str">
        <f t="shared" si="12"/>
        <v>Not Done</v>
      </c>
    </row>
    <row r="307" spans="1:7" x14ac:dyDescent="0.25">
      <c r="A307" s="6" t="s">
        <v>198</v>
      </c>
      <c r="B307" s="6" t="s">
        <v>196</v>
      </c>
      <c r="C307" s="6" t="s">
        <v>194</v>
      </c>
      <c r="D307" s="6"/>
      <c r="E307" s="6">
        <v>4</v>
      </c>
      <c r="F307" s="6" t="s">
        <v>58</v>
      </c>
      <c r="G307" s="6" t="str">
        <f t="shared" si="12"/>
        <v>Not Done</v>
      </c>
    </row>
    <row r="308" spans="1:7" x14ac:dyDescent="0.25">
      <c r="A308" s="6" t="s">
        <v>198</v>
      </c>
      <c r="B308" s="6" t="s">
        <v>193</v>
      </c>
      <c r="C308" s="6" t="s">
        <v>197</v>
      </c>
      <c r="D308" s="6"/>
      <c r="E308" s="6">
        <v>4.5</v>
      </c>
      <c r="F308" s="6" t="s">
        <v>58</v>
      </c>
      <c r="G308" s="6" t="str">
        <f t="shared" si="12"/>
        <v>Not Done</v>
      </c>
    </row>
    <row r="309" spans="1:7" x14ac:dyDescent="0.25">
      <c r="A309" s="6" t="s">
        <v>198</v>
      </c>
      <c r="B309" s="6" t="s">
        <v>195</v>
      </c>
      <c r="C309" s="6" t="s">
        <v>197</v>
      </c>
      <c r="D309" s="6"/>
      <c r="E309" s="6">
        <v>3.7</v>
      </c>
      <c r="F309" s="6" t="s">
        <v>58</v>
      </c>
      <c r="G309" s="6" t="str">
        <f t="shared" si="12"/>
        <v>Not Done</v>
      </c>
    </row>
    <row r="310" spans="1:7" x14ac:dyDescent="0.25">
      <c r="A310" s="6" t="s">
        <v>198</v>
      </c>
      <c r="B310" s="6" t="s">
        <v>196</v>
      </c>
      <c r="C310" s="6" t="s">
        <v>197</v>
      </c>
      <c r="D310" s="6"/>
      <c r="E310" s="6">
        <v>3</v>
      </c>
      <c r="F310" s="6" t="s">
        <v>58</v>
      </c>
      <c r="G310" s="6" t="str">
        <f t="shared" si="12"/>
        <v>Not Done</v>
      </c>
    </row>
    <row r="311" spans="1:7" x14ac:dyDescent="0.25">
      <c r="A311" s="6" t="s">
        <v>199</v>
      </c>
      <c r="B311" s="6" t="s">
        <v>193</v>
      </c>
      <c r="C311" s="6" t="s">
        <v>194</v>
      </c>
      <c r="D311" s="6"/>
      <c r="E311" s="6">
        <v>4.5</v>
      </c>
      <c r="F311" s="6" t="s">
        <v>58</v>
      </c>
      <c r="G311" s="6" t="str">
        <f t="shared" si="12"/>
        <v>Not Done</v>
      </c>
    </row>
    <row r="312" spans="1:7" x14ac:dyDescent="0.25">
      <c r="A312" s="6" t="s">
        <v>199</v>
      </c>
      <c r="B312" s="6" t="s">
        <v>195</v>
      </c>
      <c r="C312" s="6" t="s">
        <v>194</v>
      </c>
      <c r="D312" s="6"/>
      <c r="E312" s="6">
        <v>3.8</v>
      </c>
      <c r="F312" s="6" t="s">
        <v>58</v>
      </c>
      <c r="G312" s="6" t="str">
        <f t="shared" si="12"/>
        <v>Not Done</v>
      </c>
    </row>
    <row r="313" spans="1:7" x14ac:dyDescent="0.25">
      <c r="A313" s="6" t="s">
        <v>199</v>
      </c>
      <c r="B313" s="6" t="s">
        <v>196</v>
      </c>
      <c r="C313" s="6" t="s">
        <v>194</v>
      </c>
      <c r="D313" s="6"/>
      <c r="E313" s="6">
        <v>4</v>
      </c>
      <c r="F313" s="6" t="s">
        <v>58</v>
      </c>
      <c r="G313" s="6" t="str">
        <f t="shared" si="12"/>
        <v>Not Done</v>
      </c>
    </row>
    <row r="314" spans="1:7" x14ac:dyDescent="0.25">
      <c r="A314" s="6" t="s">
        <v>199</v>
      </c>
      <c r="B314" s="6" t="s">
        <v>193</v>
      </c>
      <c r="C314" s="6" t="s">
        <v>197</v>
      </c>
      <c r="D314" s="6"/>
      <c r="E314" s="6">
        <v>4.5</v>
      </c>
      <c r="F314" s="6" t="s">
        <v>58</v>
      </c>
      <c r="G314" s="6" t="str">
        <f t="shared" si="12"/>
        <v>Not Done</v>
      </c>
    </row>
    <row r="315" spans="1:7" x14ac:dyDescent="0.25">
      <c r="A315" s="6" t="s">
        <v>199</v>
      </c>
      <c r="B315" s="6" t="s">
        <v>195</v>
      </c>
      <c r="C315" s="6" t="s">
        <v>197</v>
      </c>
      <c r="D315" s="6"/>
      <c r="E315" s="6">
        <v>3.7</v>
      </c>
      <c r="F315" s="6" t="s">
        <v>58</v>
      </c>
      <c r="G315" s="6" t="str">
        <f t="shared" si="12"/>
        <v>Not Done</v>
      </c>
    </row>
    <row r="316" spans="1:7" x14ac:dyDescent="0.25">
      <c r="A316" s="6" t="s">
        <v>199</v>
      </c>
      <c r="B316" s="6" t="s">
        <v>196</v>
      </c>
      <c r="C316" s="6" t="s">
        <v>197</v>
      </c>
      <c r="D316" s="6"/>
      <c r="E316" s="6">
        <v>3</v>
      </c>
      <c r="F316" s="6" t="s">
        <v>58</v>
      </c>
      <c r="G316" s="6" t="str">
        <f t="shared" si="12"/>
        <v>Not Done</v>
      </c>
    </row>
    <row r="317" spans="1:7" x14ac:dyDescent="0.25">
      <c r="A317" s="6" t="s">
        <v>200</v>
      </c>
      <c r="B317" s="6" t="s">
        <v>193</v>
      </c>
      <c r="C317" s="6" t="s">
        <v>194</v>
      </c>
      <c r="D317" s="6"/>
      <c r="E317" s="6">
        <v>4.5</v>
      </c>
      <c r="F317" s="6" t="s">
        <v>58</v>
      </c>
      <c r="G317" s="6" t="str">
        <f t="shared" si="12"/>
        <v>Not Done</v>
      </c>
    </row>
    <row r="318" spans="1:7" x14ac:dyDescent="0.25">
      <c r="A318" s="6" t="s">
        <v>200</v>
      </c>
      <c r="B318" s="6" t="s">
        <v>195</v>
      </c>
      <c r="C318" s="6" t="s">
        <v>194</v>
      </c>
      <c r="D318" s="6"/>
      <c r="E318" s="6">
        <v>3.8</v>
      </c>
      <c r="F318" s="6" t="s">
        <v>58</v>
      </c>
      <c r="G318" s="6" t="str">
        <f t="shared" si="12"/>
        <v>Not Done</v>
      </c>
    </row>
    <row r="319" spans="1:7" x14ac:dyDescent="0.25">
      <c r="A319" s="6" t="s">
        <v>200</v>
      </c>
      <c r="B319" s="6" t="s">
        <v>196</v>
      </c>
      <c r="C319" s="6" t="s">
        <v>194</v>
      </c>
      <c r="D319" s="6"/>
      <c r="E319" s="6">
        <v>4</v>
      </c>
      <c r="F319" s="6" t="s">
        <v>58</v>
      </c>
      <c r="G319" s="6" t="str">
        <f t="shared" si="12"/>
        <v>Not Done</v>
      </c>
    </row>
    <row r="320" spans="1:7" x14ac:dyDescent="0.25">
      <c r="A320" s="6" t="s">
        <v>200</v>
      </c>
      <c r="B320" s="6" t="s">
        <v>193</v>
      </c>
      <c r="C320" s="6" t="s">
        <v>197</v>
      </c>
      <c r="D320" s="6"/>
      <c r="E320" s="6">
        <v>4.5</v>
      </c>
      <c r="F320" s="6" t="s">
        <v>58</v>
      </c>
      <c r="G320" s="6" t="str">
        <f t="shared" si="12"/>
        <v>Not Done</v>
      </c>
    </row>
    <row r="321" spans="1:7" x14ac:dyDescent="0.25">
      <c r="A321" s="6" t="s">
        <v>200</v>
      </c>
      <c r="B321" s="6" t="s">
        <v>195</v>
      </c>
      <c r="C321" s="6" t="s">
        <v>197</v>
      </c>
      <c r="D321" s="6"/>
      <c r="E321" s="6">
        <v>3.7</v>
      </c>
      <c r="F321" s="6" t="s">
        <v>58</v>
      </c>
      <c r="G321" s="6" t="str">
        <f t="shared" si="12"/>
        <v>Not Done</v>
      </c>
    </row>
    <row r="322" spans="1:7" x14ac:dyDescent="0.25">
      <c r="A322" s="6" t="s">
        <v>200</v>
      </c>
      <c r="B322" s="6" t="s">
        <v>196</v>
      </c>
      <c r="C322" s="6" t="s">
        <v>197</v>
      </c>
      <c r="D322" s="6"/>
      <c r="E322" s="6">
        <v>3</v>
      </c>
      <c r="F322" s="6" t="s">
        <v>58</v>
      </c>
      <c r="G322" s="6" t="str">
        <f t="shared" si="12"/>
        <v>Not Done</v>
      </c>
    </row>
    <row r="324" spans="1:7" ht="15.75" x14ac:dyDescent="0.25">
      <c r="A324" s="4" t="s">
        <v>201</v>
      </c>
    </row>
    <row r="325" spans="1:7" x14ac:dyDescent="0.25">
      <c r="A325" s="5" t="s">
        <v>25</v>
      </c>
      <c r="B325" s="5" t="s">
        <v>31</v>
      </c>
      <c r="C325" s="5" t="s">
        <v>32</v>
      </c>
      <c r="D325" s="5" t="s">
        <v>33</v>
      </c>
      <c r="E325" s="5" t="s">
        <v>34</v>
      </c>
      <c r="F325" s="5" t="s">
        <v>26</v>
      </c>
    </row>
    <row r="326" spans="1:7" x14ac:dyDescent="0.25">
      <c r="A326" s="6"/>
      <c r="B326" s="6">
        <v>-0.8</v>
      </c>
      <c r="C326" s="6"/>
      <c r="D326" s="6">
        <v>0.8</v>
      </c>
      <c r="E326" s="6" t="s">
        <v>202</v>
      </c>
      <c r="F326" s="6" t="str">
        <f>IF(ISBLANK(C326),"Not Done",IF(AND(C326&lt;=D326,C326&gt;=B326),"Pass","Fail"))</f>
        <v>Not Done</v>
      </c>
    </row>
    <row r="328" spans="1:7" ht="15.75" x14ac:dyDescent="0.25">
      <c r="A328" s="4" t="s">
        <v>203</v>
      </c>
    </row>
    <row r="329" spans="1:7" x14ac:dyDescent="0.25">
      <c r="A329" s="5" t="s">
        <v>25</v>
      </c>
      <c r="B329" s="5" t="s">
        <v>30</v>
      </c>
      <c r="C329" s="5" t="s">
        <v>204</v>
      </c>
      <c r="D329" s="5" t="s">
        <v>32</v>
      </c>
      <c r="E329" s="5" t="s">
        <v>33</v>
      </c>
      <c r="F329" s="5" t="s">
        <v>34</v>
      </c>
      <c r="G329" s="5" t="s">
        <v>26</v>
      </c>
    </row>
    <row r="330" spans="1:7" x14ac:dyDescent="0.25">
      <c r="A330" s="6" t="s">
        <v>205</v>
      </c>
      <c r="B330" s="6" t="s">
        <v>206</v>
      </c>
      <c r="C330" s="6">
        <v>8.0000000000000002E-3</v>
      </c>
      <c r="D330" s="6"/>
      <c r="E330" s="6">
        <v>2000</v>
      </c>
      <c r="F330" s="6" t="s">
        <v>207</v>
      </c>
      <c r="G330" s="6" t="str">
        <f t="shared" ref="G330:G361" si="13">IF(ISBLANK(D330),"Not Done",IF(D330&lt;=E330,"Pass","Fail"))</f>
        <v>Not Done</v>
      </c>
    </row>
    <row r="331" spans="1:7" x14ac:dyDescent="0.25">
      <c r="A331" s="6" t="s">
        <v>205</v>
      </c>
      <c r="B331" s="6" t="s">
        <v>208</v>
      </c>
      <c r="C331" s="6">
        <v>0.04</v>
      </c>
      <c r="D331" s="6"/>
      <c r="E331" s="6">
        <v>118</v>
      </c>
      <c r="F331" s="6" t="s">
        <v>207</v>
      </c>
      <c r="G331" s="6" t="str">
        <f t="shared" si="13"/>
        <v>Not Done</v>
      </c>
    </row>
    <row r="332" spans="1:7" x14ac:dyDescent="0.25">
      <c r="A332" s="6" t="s">
        <v>205</v>
      </c>
      <c r="B332" s="6" t="s">
        <v>38</v>
      </c>
      <c r="C332" s="6">
        <v>0.8</v>
      </c>
      <c r="D332" s="6"/>
      <c r="E332" s="6">
        <v>117</v>
      </c>
      <c r="F332" s="6" t="s">
        <v>207</v>
      </c>
      <c r="G332" s="6" t="str">
        <f t="shared" si="13"/>
        <v>Not Done</v>
      </c>
    </row>
    <row r="333" spans="1:7" x14ac:dyDescent="0.25">
      <c r="A333" s="6" t="s">
        <v>205</v>
      </c>
      <c r="B333" s="6" t="s">
        <v>209</v>
      </c>
      <c r="C333" s="6">
        <v>4</v>
      </c>
      <c r="D333" s="6"/>
      <c r="E333" s="6">
        <v>117</v>
      </c>
      <c r="F333" s="6" t="s">
        <v>207</v>
      </c>
      <c r="G333" s="6" t="str">
        <f t="shared" si="13"/>
        <v>Not Done</v>
      </c>
    </row>
    <row r="334" spans="1:7" x14ac:dyDescent="0.25">
      <c r="A334" s="6" t="s">
        <v>205</v>
      </c>
      <c r="B334" s="6" t="s">
        <v>210</v>
      </c>
      <c r="C334" s="6">
        <v>4</v>
      </c>
      <c r="D334" s="6"/>
      <c r="E334" s="6">
        <v>122</v>
      </c>
      <c r="F334" s="6" t="s">
        <v>207</v>
      </c>
      <c r="G334" s="6" t="str">
        <f t="shared" si="13"/>
        <v>Not Done</v>
      </c>
    </row>
    <row r="335" spans="1:7" x14ac:dyDescent="0.25">
      <c r="A335" s="6" t="s">
        <v>211</v>
      </c>
      <c r="B335" s="6" t="s">
        <v>206</v>
      </c>
      <c r="C335" s="6">
        <v>8.0000000000000002E-3</v>
      </c>
      <c r="D335" s="6"/>
      <c r="E335" s="6">
        <v>464</v>
      </c>
      <c r="F335" s="6" t="s">
        <v>207</v>
      </c>
      <c r="G335" s="6" t="str">
        <f t="shared" si="13"/>
        <v>Not Done</v>
      </c>
    </row>
    <row r="336" spans="1:7" x14ac:dyDescent="0.25">
      <c r="A336" s="6" t="s">
        <v>211</v>
      </c>
      <c r="B336" s="6" t="s">
        <v>208</v>
      </c>
      <c r="C336" s="6">
        <v>0.04</v>
      </c>
      <c r="D336" s="6"/>
      <c r="E336" s="6">
        <v>276</v>
      </c>
      <c r="F336" s="6" t="s">
        <v>207</v>
      </c>
      <c r="G336" s="6" t="str">
        <f t="shared" si="13"/>
        <v>Not Done</v>
      </c>
    </row>
    <row r="337" spans="1:7" x14ac:dyDescent="0.25">
      <c r="A337" s="6" t="s">
        <v>211</v>
      </c>
      <c r="B337" s="6" t="s">
        <v>38</v>
      </c>
      <c r="C337" s="6">
        <v>0.8</v>
      </c>
      <c r="D337" s="6"/>
      <c r="E337" s="6">
        <v>234</v>
      </c>
      <c r="F337" s="6" t="s">
        <v>207</v>
      </c>
      <c r="G337" s="6" t="str">
        <f t="shared" si="13"/>
        <v>Not Done</v>
      </c>
    </row>
    <row r="338" spans="1:7" x14ac:dyDescent="0.25">
      <c r="A338" s="6" t="s">
        <v>211</v>
      </c>
      <c r="B338" s="6" t="s">
        <v>209</v>
      </c>
      <c r="C338" s="6">
        <v>4</v>
      </c>
      <c r="D338" s="6"/>
      <c r="E338" s="6">
        <v>232</v>
      </c>
      <c r="F338" s="6" t="s">
        <v>207</v>
      </c>
      <c r="G338" s="6" t="str">
        <f t="shared" si="13"/>
        <v>Not Done</v>
      </c>
    </row>
    <row r="339" spans="1:7" x14ac:dyDescent="0.25">
      <c r="A339" s="6" t="s">
        <v>211</v>
      </c>
      <c r="B339" s="6" t="s">
        <v>210</v>
      </c>
      <c r="C339" s="6">
        <v>4</v>
      </c>
      <c r="D339" s="6"/>
      <c r="E339" s="6">
        <v>417</v>
      </c>
      <c r="F339" s="6" t="s">
        <v>207</v>
      </c>
      <c r="G339" s="6" t="str">
        <f t="shared" si="13"/>
        <v>Not Done</v>
      </c>
    </row>
    <row r="340" spans="1:7" x14ac:dyDescent="0.25">
      <c r="A340" s="6" t="s">
        <v>212</v>
      </c>
      <c r="B340" s="6" t="s">
        <v>206</v>
      </c>
      <c r="C340" s="6">
        <v>8.0000000000000002E-3</v>
      </c>
      <c r="D340" s="6"/>
      <c r="E340" s="6">
        <v>4.5</v>
      </c>
      <c r="F340" s="6" t="s">
        <v>213</v>
      </c>
      <c r="G340" s="6" t="str">
        <f t="shared" si="13"/>
        <v>Not Done</v>
      </c>
    </row>
    <row r="341" spans="1:7" x14ac:dyDescent="0.25">
      <c r="A341" s="6" t="s">
        <v>212</v>
      </c>
      <c r="B341" s="6" t="s">
        <v>208</v>
      </c>
      <c r="C341" s="6">
        <v>0.04</v>
      </c>
      <c r="D341" s="6"/>
      <c r="E341" s="6">
        <v>2.52</v>
      </c>
      <c r="F341" s="6" t="s">
        <v>213</v>
      </c>
      <c r="G341" s="6" t="str">
        <f t="shared" si="13"/>
        <v>Not Done</v>
      </c>
    </row>
    <row r="342" spans="1:7" x14ac:dyDescent="0.25">
      <c r="A342" s="6" t="s">
        <v>212</v>
      </c>
      <c r="B342" s="6" t="s">
        <v>38</v>
      </c>
      <c r="C342" s="6">
        <v>0.8</v>
      </c>
      <c r="D342" s="6"/>
      <c r="E342" s="6">
        <v>2.06</v>
      </c>
      <c r="F342" s="6" t="s">
        <v>213</v>
      </c>
      <c r="G342" s="6" t="str">
        <f t="shared" si="13"/>
        <v>Not Done</v>
      </c>
    </row>
    <row r="343" spans="1:7" x14ac:dyDescent="0.25">
      <c r="A343" s="6" t="s">
        <v>212</v>
      </c>
      <c r="B343" s="6" t="s">
        <v>209</v>
      </c>
      <c r="C343" s="6">
        <v>4</v>
      </c>
      <c r="D343" s="6"/>
      <c r="E343" s="6">
        <v>2.0299999999999998</v>
      </c>
      <c r="F343" s="6" t="s">
        <v>213</v>
      </c>
      <c r="G343" s="6" t="str">
        <f t="shared" si="13"/>
        <v>Not Done</v>
      </c>
    </row>
    <row r="344" spans="1:7" x14ac:dyDescent="0.25">
      <c r="A344" s="6" t="s">
        <v>212</v>
      </c>
      <c r="B344" s="6" t="s">
        <v>210</v>
      </c>
      <c r="C344" s="6">
        <v>4</v>
      </c>
      <c r="D344" s="6"/>
      <c r="E344" s="6">
        <v>4.01</v>
      </c>
      <c r="F344" s="6" t="s">
        <v>213</v>
      </c>
      <c r="G344" s="6" t="str">
        <f t="shared" si="13"/>
        <v>Not Done</v>
      </c>
    </row>
    <row r="345" spans="1:7" x14ac:dyDescent="0.25">
      <c r="A345" s="6" t="s">
        <v>214</v>
      </c>
      <c r="B345" s="6" t="s">
        <v>206</v>
      </c>
      <c r="C345" s="6">
        <v>8.0000000000000002E-3</v>
      </c>
      <c r="D345" s="6"/>
      <c r="E345" s="6">
        <v>45</v>
      </c>
      <c r="F345" s="6" t="s">
        <v>213</v>
      </c>
      <c r="G345" s="6" t="str">
        <f t="shared" si="13"/>
        <v>Not Done</v>
      </c>
    </row>
    <row r="346" spans="1:7" x14ac:dyDescent="0.25">
      <c r="A346" s="6" t="s">
        <v>214</v>
      </c>
      <c r="B346" s="6" t="s">
        <v>208</v>
      </c>
      <c r="C346" s="6">
        <v>0.04</v>
      </c>
      <c r="D346" s="6"/>
      <c r="E346" s="6">
        <v>25.2</v>
      </c>
      <c r="F346" s="6" t="s">
        <v>213</v>
      </c>
      <c r="G346" s="6" t="str">
        <f t="shared" si="13"/>
        <v>Not Done</v>
      </c>
    </row>
    <row r="347" spans="1:7" x14ac:dyDescent="0.25">
      <c r="A347" s="6" t="s">
        <v>214</v>
      </c>
      <c r="B347" s="6" t="s">
        <v>38</v>
      </c>
      <c r="C347" s="6">
        <v>0.8</v>
      </c>
      <c r="D347" s="6"/>
      <c r="E347" s="6">
        <v>20.5</v>
      </c>
      <c r="F347" s="6" t="s">
        <v>213</v>
      </c>
      <c r="G347" s="6" t="str">
        <f t="shared" si="13"/>
        <v>Not Done</v>
      </c>
    </row>
    <row r="348" spans="1:7" x14ac:dyDescent="0.25">
      <c r="A348" s="6" t="s">
        <v>214</v>
      </c>
      <c r="B348" s="6" t="s">
        <v>209</v>
      </c>
      <c r="C348" s="6">
        <v>4</v>
      </c>
      <c r="D348" s="6"/>
      <c r="E348" s="6">
        <v>20.3</v>
      </c>
      <c r="F348" s="6" t="s">
        <v>213</v>
      </c>
      <c r="G348" s="6" t="str">
        <f t="shared" si="13"/>
        <v>Not Done</v>
      </c>
    </row>
    <row r="349" spans="1:7" x14ac:dyDescent="0.25">
      <c r="A349" s="6" t="s">
        <v>214</v>
      </c>
      <c r="B349" s="6" t="s">
        <v>210</v>
      </c>
      <c r="C349" s="6">
        <v>4</v>
      </c>
      <c r="D349" s="6"/>
      <c r="E349" s="6">
        <v>40.1</v>
      </c>
      <c r="F349" s="6" t="s">
        <v>213</v>
      </c>
      <c r="G349" s="6" t="str">
        <f t="shared" si="13"/>
        <v>Not Done</v>
      </c>
    </row>
    <row r="350" spans="1:7" x14ac:dyDescent="0.25">
      <c r="A350" s="6" t="s">
        <v>215</v>
      </c>
      <c r="B350" s="6" t="s">
        <v>206</v>
      </c>
      <c r="C350" s="6">
        <v>8.0000000000000002E-3</v>
      </c>
      <c r="D350" s="6"/>
      <c r="E350" s="6">
        <v>450</v>
      </c>
      <c r="F350" s="6" t="s">
        <v>213</v>
      </c>
      <c r="G350" s="6" t="str">
        <f t="shared" si="13"/>
        <v>Not Done</v>
      </c>
    </row>
    <row r="351" spans="1:7" x14ac:dyDescent="0.25">
      <c r="A351" s="6" t="s">
        <v>215</v>
      </c>
      <c r="B351" s="6" t="s">
        <v>208</v>
      </c>
      <c r="C351" s="6">
        <v>0.04</v>
      </c>
      <c r="D351" s="6"/>
      <c r="E351" s="6">
        <v>252</v>
      </c>
      <c r="F351" s="6" t="s">
        <v>213</v>
      </c>
      <c r="G351" s="6" t="str">
        <f t="shared" si="13"/>
        <v>Not Done</v>
      </c>
    </row>
    <row r="352" spans="1:7" x14ac:dyDescent="0.25">
      <c r="A352" s="6" t="s">
        <v>215</v>
      </c>
      <c r="B352" s="6" t="s">
        <v>38</v>
      </c>
      <c r="C352" s="6">
        <v>0.8</v>
      </c>
      <c r="D352" s="6"/>
      <c r="E352" s="6">
        <v>205</v>
      </c>
      <c r="F352" s="6" t="s">
        <v>213</v>
      </c>
      <c r="G352" s="6" t="str">
        <f t="shared" si="13"/>
        <v>Not Done</v>
      </c>
    </row>
    <row r="353" spans="1:7" x14ac:dyDescent="0.25">
      <c r="A353" s="6" t="s">
        <v>215</v>
      </c>
      <c r="B353" s="6" t="s">
        <v>209</v>
      </c>
      <c r="C353" s="6">
        <v>4</v>
      </c>
      <c r="D353" s="6"/>
      <c r="E353" s="6">
        <v>203</v>
      </c>
      <c r="F353" s="6" t="s">
        <v>213</v>
      </c>
      <c r="G353" s="6" t="str">
        <f t="shared" si="13"/>
        <v>Not Done</v>
      </c>
    </row>
    <row r="354" spans="1:7" x14ac:dyDescent="0.25">
      <c r="A354" s="6" t="s">
        <v>215</v>
      </c>
      <c r="B354" s="6" t="s">
        <v>210</v>
      </c>
      <c r="C354" s="6">
        <v>4</v>
      </c>
      <c r="D354" s="6"/>
      <c r="E354" s="6">
        <v>401</v>
      </c>
      <c r="F354" s="6" t="s">
        <v>213</v>
      </c>
      <c r="G354" s="6" t="str">
        <f t="shared" si="13"/>
        <v>Not Done</v>
      </c>
    </row>
    <row r="355" spans="1:7" x14ac:dyDescent="0.25">
      <c r="A355" s="6" t="s">
        <v>216</v>
      </c>
      <c r="B355" s="6" t="s">
        <v>206</v>
      </c>
      <c r="C355" s="6">
        <v>8.0000000000000002E-3</v>
      </c>
      <c r="D355" s="6"/>
      <c r="E355" s="6">
        <v>4.5</v>
      </c>
      <c r="F355" s="6" t="s">
        <v>217</v>
      </c>
      <c r="G355" s="6" t="str">
        <f t="shared" si="13"/>
        <v>Not Done</v>
      </c>
    </row>
    <row r="356" spans="1:7" x14ac:dyDescent="0.25">
      <c r="A356" s="6" t="s">
        <v>216</v>
      </c>
      <c r="B356" s="6" t="s">
        <v>208</v>
      </c>
      <c r="C356" s="6">
        <v>0.04</v>
      </c>
      <c r="D356" s="6"/>
      <c r="E356" s="6">
        <v>2.52</v>
      </c>
      <c r="F356" s="6" t="s">
        <v>217</v>
      </c>
      <c r="G356" s="6" t="str">
        <f t="shared" si="13"/>
        <v>Not Done</v>
      </c>
    </row>
    <row r="357" spans="1:7" x14ac:dyDescent="0.25">
      <c r="A357" s="6" t="s">
        <v>216</v>
      </c>
      <c r="B357" s="6" t="s">
        <v>38</v>
      </c>
      <c r="C357" s="6">
        <v>0.8</v>
      </c>
      <c r="D357" s="6"/>
      <c r="E357" s="6">
        <v>2.0499999999999998</v>
      </c>
      <c r="F357" s="6" t="s">
        <v>217</v>
      </c>
      <c r="G357" s="6" t="str">
        <f t="shared" si="13"/>
        <v>Not Done</v>
      </c>
    </row>
    <row r="358" spans="1:7" x14ac:dyDescent="0.25">
      <c r="A358" s="6" t="s">
        <v>218</v>
      </c>
      <c r="B358" s="6" t="s">
        <v>209</v>
      </c>
      <c r="C358" s="6">
        <v>4</v>
      </c>
      <c r="D358" s="6"/>
      <c r="E358" s="6">
        <v>2.0299999999999998</v>
      </c>
      <c r="F358" s="6" t="s">
        <v>217</v>
      </c>
      <c r="G358" s="6" t="str">
        <f t="shared" si="13"/>
        <v>Not Done</v>
      </c>
    </row>
    <row r="359" spans="1:7" x14ac:dyDescent="0.25">
      <c r="A359" s="6" t="s">
        <v>216</v>
      </c>
      <c r="B359" s="6" t="s">
        <v>210</v>
      </c>
      <c r="C359" s="6">
        <v>4</v>
      </c>
      <c r="D359" s="6"/>
      <c r="E359" s="6">
        <v>4.01</v>
      </c>
      <c r="F359" s="6" t="s">
        <v>217</v>
      </c>
      <c r="G359" s="6" t="str">
        <f t="shared" si="13"/>
        <v>Not Done</v>
      </c>
    </row>
    <row r="360" spans="1:7" x14ac:dyDescent="0.25">
      <c r="A360" s="6" t="s">
        <v>219</v>
      </c>
      <c r="B360" s="6" t="s">
        <v>206</v>
      </c>
      <c r="C360" s="6">
        <v>8.0000000000000002E-3</v>
      </c>
      <c r="D360" s="6"/>
      <c r="E360" s="6">
        <v>2000</v>
      </c>
      <c r="F360" s="6" t="s">
        <v>207</v>
      </c>
      <c r="G360" s="6" t="str">
        <f t="shared" si="13"/>
        <v>Not Done</v>
      </c>
    </row>
    <row r="361" spans="1:7" x14ac:dyDescent="0.25">
      <c r="A361" s="6" t="s">
        <v>219</v>
      </c>
      <c r="B361" s="6" t="s">
        <v>208</v>
      </c>
      <c r="C361" s="6">
        <v>0.04</v>
      </c>
      <c r="D361" s="6"/>
      <c r="E361" s="6">
        <v>118</v>
      </c>
      <c r="F361" s="6" t="s">
        <v>207</v>
      </c>
      <c r="G361" s="6" t="str">
        <f t="shared" si="13"/>
        <v>Not Done</v>
      </c>
    </row>
    <row r="362" spans="1:7" x14ac:dyDescent="0.25">
      <c r="A362" s="6" t="s">
        <v>219</v>
      </c>
      <c r="B362" s="6" t="s">
        <v>38</v>
      </c>
      <c r="C362" s="6">
        <v>0.8</v>
      </c>
      <c r="D362" s="6"/>
      <c r="E362" s="6">
        <v>117</v>
      </c>
      <c r="F362" s="6" t="s">
        <v>207</v>
      </c>
      <c r="G362" s="6" t="str">
        <f t="shared" ref="G362:G393" si="14">IF(ISBLANK(D362),"Not Done",IF(D362&lt;=E362,"Pass","Fail"))</f>
        <v>Not Done</v>
      </c>
    </row>
    <row r="363" spans="1:7" x14ac:dyDescent="0.25">
      <c r="A363" s="6" t="s">
        <v>219</v>
      </c>
      <c r="B363" s="6" t="s">
        <v>209</v>
      </c>
      <c r="C363" s="6">
        <v>4</v>
      </c>
      <c r="D363" s="6"/>
      <c r="E363" s="6">
        <v>117</v>
      </c>
      <c r="F363" s="6" t="s">
        <v>207</v>
      </c>
      <c r="G363" s="6" t="str">
        <f t="shared" si="14"/>
        <v>Not Done</v>
      </c>
    </row>
    <row r="364" spans="1:7" x14ac:dyDescent="0.25">
      <c r="A364" s="6" t="s">
        <v>219</v>
      </c>
      <c r="B364" s="6" t="s">
        <v>210</v>
      </c>
      <c r="C364" s="6">
        <v>4</v>
      </c>
      <c r="D364" s="6"/>
      <c r="E364" s="6">
        <v>122</v>
      </c>
      <c r="F364" s="6" t="s">
        <v>207</v>
      </c>
      <c r="G364" s="6" t="str">
        <f t="shared" si="14"/>
        <v>Not Done</v>
      </c>
    </row>
    <row r="365" spans="1:7" x14ac:dyDescent="0.25">
      <c r="A365" s="6" t="s">
        <v>220</v>
      </c>
      <c r="B365" s="6" t="s">
        <v>206</v>
      </c>
      <c r="C365" s="6">
        <v>8.0000000000000002E-3</v>
      </c>
      <c r="D365" s="6"/>
      <c r="E365" s="6">
        <v>464</v>
      </c>
      <c r="F365" s="6" t="s">
        <v>207</v>
      </c>
      <c r="G365" s="6" t="str">
        <f t="shared" si="14"/>
        <v>Not Done</v>
      </c>
    </row>
    <row r="366" spans="1:7" x14ac:dyDescent="0.25">
      <c r="A366" s="6" t="s">
        <v>220</v>
      </c>
      <c r="B366" s="6" t="s">
        <v>208</v>
      </c>
      <c r="C366" s="6">
        <v>0.04</v>
      </c>
      <c r="D366" s="6"/>
      <c r="E366" s="6">
        <v>276</v>
      </c>
      <c r="F366" s="6" t="s">
        <v>207</v>
      </c>
      <c r="G366" s="6" t="str">
        <f t="shared" si="14"/>
        <v>Not Done</v>
      </c>
    </row>
    <row r="367" spans="1:7" x14ac:dyDescent="0.25">
      <c r="A367" s="6" t="s">
        <v>220</v>
      </c>
      <c r="B367" s="6" t="s">
        <v>38</v>
      </c>
      <c r="C367" s="6">
        <v>0.8</v>
      </c>
      <c r="D367" s="6"/>
      <c r="E367" s="6">
        <v>234</v>
      </c>
      <c r="F367" s="6" t="s">
        <v>207</v>
      </c>
      <c r="G367" s="6" t="str">
        <f t="shared" si="14"/>
        <v>Not Done</v>
      </c>
    </row>
    <row r="368" spans="1:7" x14ac:dyDescent="0.25">
      <c r="A368" s="6" t="s">
        <v>220</v>
      </c>
      <c r="B368" s="6" t="s">
        <v>209</v>
      </c>
      <c r="C368" s="6">
        <v>4</v>
      </c>
      <c r="D368" s="6"/>
      <c r="E368" s="6">
        <v>232</v>
      </c>
      <c r="F368" s="6" t="s">
        <v>207</v>
      </c>
      <c r="G368" s="6" t="str">
        <f t="shared" si="14"/>
        <v>Not Done</v>
      </c>
    </row>
    <row r="369" spans="1:7" x14ac:dyDescent="0.25">
      <c r="A369" s="6" t="s">
        <v>220</v>
      </c>
      <c r="B369" s="6" t="s">
        <v>210</v>
      </c>
      <c r="C369" s="6">
        <v>4</v>
      </c>
      <c r="D369" s="6"/>
      <c r="E369" s="6">
        <v>417</v>
      </c>
      <c r="F369" s="6" t="s">
        <v>207</v>
      </c>
      <c r="G369" s="6" t="str">
        <f t="shared" si="14"/>
        <v>Not Done</v>
      </c>
    </row>
    <row r="370" spans="1:7" x14ac:dyDescent="0.25">
      <c r="A370" s="6" t="s">
        <v>221</v>
      </c>
      <c r="B370" s="6" t="s">
        <v>206</v>
      </c>
      <c r="C370" s="6">
        <v>8.0000000000000002E-3</v>
      </c>
      <c r="D370" s="6"/>
      <c r="E370" s="6">
        <v>4.5</v>
      </c>
      <c r="F370" s="6" t="s">
        <v>213</v>
      </c>
      <c r="G370" s="6" t="str">
        <f t="shared" si="14"/>
        <v>Not Done</v>
      </c>
    </row>
    <row r="371" spans="1:7" x14ac:dyDescent="0.25">
      <c r="A371" s="6" t="s">
        <v>221</v>
      </c>
      <c r="B371" s="6" t="s">
        <v>208</v>
      </c>
      <c r="C371" s="6">
        <v>0.04</v>
      </c>
      <c r="D371" s="6"/>
      <c r="E371" s="6">
        <v>2.52</v>
      </c>
      <c r="F371" s="6" t="s">
        <v>213</v>
      </c>
      <c r="G371" s="6" t="str">
        <f t="shared" si="14"/>
        <v>Not Done</v>
      </c>
    </row>
    <row r="372" spans="1:7" x14ac:dyDescent="0.25">
      <c r="A372" s="6" t="s">
        <v>221</v>
      </c>
      <c r="B372" s="6" t="s">
        <v>38</v>
      </c>
      <c r="C372" s="6">
        <v>0.8</v>
      </c>
      <c r="D372" s="6"/>
      <c r="E372" s="6">
        <v>2.06</v>
      </c>
      <c r="F372" s="6" t="s">
        <v>213</v>
      </c>
      <c r="G372" s="6" t="str">
        <f t="shared" si="14"/>
        <v>Not Done</v>
      </c>
    </row>
    <row r="373" spans="1:7" x14ac:dyDescent="0.25">
      <c r="A373" s="6" t="s">
        <v>221</v>
      </c>
      <c r="B373" s="6" t="s">
        <v>209</v>
      </c>
      <c r="C373" s="6">
        <v>4</v>
      </c>
      <c r="D373" s="6"/>
      <c r="E373" s="6">
        <v>2.0299999999999998</v>
      </c>
      <c r="F373" s="6" t="s">
        <v>213</v>
      </c>
      <c r="G373" s="6" t="str">
        <f t="shared" si="14"/>
        <v>Not Done</v>
      </c>
    </row>
    <row r="374" spans="1:7" x14ac:dyDescent="0.25">
      <c r="A374" s="6" t="s">
        <v>221</v>
      </c>
      <c r="B374" s="6" t="s">
        <v>210</v>
      </c>
      <c r="C374" s="6">
        <v>4</v>
      </c>
      <c r="D374" s="6"/>
      <c r="E374" s="6">
        <v>4.01</v>
      </c>
      <c r="F374" s="6" t="s">
        <v>213</v>
      </c>
      <c r="G374" s="6" t="str">
        <f t="shared" si="14"/>
        <v>Not Done</v>
      </c>
    </row>
    <row r="375" spans="1:7" x14ac:dyDescent="0.25">
      <c r="A375" s="6" t="s">
        <v>222</v>
      </c>
      <c r="B375" s="6" t="s">
        <v>206</v>
      </c>
      <c r="C375" s="6">
        <v>8</v>
      </c>
      <c r="D375" s="6"/>
      <c r="E375" s="6">
        <v>45</v>
      </c>
      <c r="F375" s="6" t="s">
        <v>213</v>
      </c>
      <c r="G375" s="6" t="str">
        <f t="shared" si="14"/>
        <v>Not Done</v>
      </c>
    </row>
    <row r="376" spans="1:7" x14ac:dyDescent="0.25">
      <c r="A376" s="6" t="s">
        <v>222</v>
      </c>
      <c r="B376" s="6" t="s">
        <v>208</v>
      </c>
      <c r="C376" s="6">
        <v>40</v>
      </c>
      <c r="D376" s="6"/>
      <c r="E376" s="6">
        <v>25.2</v>
      </c>
      <c r="F376" s="6" t="s">
        <v>213</v>
      </c>
      <c r="G376" s="6" t="str">
        <f t="shared" si="14"/>
        <v>Not Done</v>
      </c>
    </row>
    <row r="377" spans="1:7" x14ac:dyDescent="0.25">
      <c r="A377" s="6" t="s">
        <v>222</v>
      </c>
      <c r="B377" s="6" t="s">
        <v>38</v>
      </c>
      <c r="C377" s="6">
        <v>800</v>
      </c>
      <c r="D377" s="6"/>
      <c r="E377" s="6">
        <v>20.5</v>
      </c>
      <c r="F377" s="6" t="s">
        <v>213</v>
      </c>
      <c r="G377" s="6" t="str">
        <f t="shared" si="14"/>
        <v>Not Done</v>
      </c>
    </row>
    <row r="378" spans="1:7" x14ac:dyDescent="0.25">
      <c r="A378" s="6" t="s">
        <v>222</v>
      </c>
      <c r="B378" s="6" t="s">
        <v>209</v>
      </c>
      <c r="C378" s="6">
        <v>4</v>
      </c>
      <c r="D378" s="6"/>
      <c r="E378" s="6">
        <v>20.3</v>
      </c>
      <c r="F378" s="6" t="s">
        <v>213</v>
      </c>
      <c r="G378" s="6" t="str">
        <f t="shared" si="14"/>
        <v>Not Done</v>
      </c>
    </row>
    <row r="379" spans="1:7" x14ac:dyDescent="0.25">
      <c r="A379" s="6" t="s">
        <v>222</v>
      </c>
      <c r="B379" s="6" t="s">
        <v>210</v>
      </c>
      <c r="C379" s="6">
        <v>4</v>
      </c>
      <c r="D379" s="6"/>
      <c r="E379" s="6">
        <v>40.1</v>
      </c>
      <c r="F379" s="6" t="s">
        <v>213</v>
      </c>
      <c r="G379" s="6" t="str">
        <f t="shared" si="14"/>
        <v>Not Done</v>
      </c>
    </row>
    <row r="380" spans="1:7" x14ac:dyDescent="0.25">
      <c r="A380" s="6" t="s">
        <v>223</v>
      </c>
      <c r="B380" s="6" t="s">
        <v>206</v>
      </c>
      <c r="C380" s="6">
        <v>8.0000000000000002E-3</v>
      </c>
      <c r="D380" s="6"/>
      <c r="E380" s="6">
        <v>450</v>
      </c>
      <c r="F380" s="6" t="s">
        <v>213</v>
      </c>
      <c r="G380" s="6" t="str">
        <f t="shared" si="14"/>
        <v>Not Done</v>
      </c>
    </row>
    <row r="381" spans="1:7" x14ac:dyDescent="0.25">
      <c r="A381" s="6" t="s">
        <v>223</v>
      </c>
      <c r="B381" s="6" t="s">
        <v>208</v>
      </c>
      <c r="C381" s="6">
        <v>0.04</v>
      </c>
      <c r="D381" s="6"/>
      <c r="E381" s="6">
        <v>252</v>
      </c>
      <c r="F381" s="6" t="s">
        <v>213</v>
      </c>
      <c r="G381" s="6" t="str">
        <f t="shared" si="14"/>
        <v>Not Done</v>
      </c>
    </row>
    <row r="382" spans="1:7" x14ac:dyDescent="0.25">
      <c r="A382" s="6" t="s">
        <v>223</v>
      </c>
      <c r="B382" s="6" t="s">
        <v>38</v>
      </c>
      <c r="C382" s="6">
        <v>0.8</v>
      </c>
      <c r="D382" s="6"/>
      <c r="E382" s="6">
        <v>205</v>
      </c>
      <c r="F382" s="6" t="s">
        <v>213</v>
      </c>
      <c r="G382" s="6" t="str">
        <f t="shared" si="14"/>
        <v>Not Done</v>
      </c>
    </row>
    <row r="383" spans="1:7" x14ac:dyDescent="0.25">
      <c r="A383" s="6" t="s">
        <v>223</v>
      </c>
      <c r="B383" s="6" t="s">
        <v>209</v>
      </c>
      <c r="C383" s="6">
        <v>4</v>
      </c>
      <c r="D383" s="6"/>
      <c r="E383" s="6">
        <v>203</v>
      </c>
      <c r="F383" s="6" t="s">
        <v>213</v>
      </c>
      <c r="G383" s="6" t="str">
        <f t="shared" si="14"/>
        <v>Not Done</v>
      </c>
    </row>
    <row r="384" spans="1:7" x14ac:dyDescent="0.25">
      <c r="A384" s="6" t="s">
        <v>223</v>
      </c>
      <c r="B384" s="6" t="s">
        <v>210</v>
      </c>
      <c r="C384" s="6">
        <v>4</v>
      </c>
      <c r="D384" s="6"/>
      <c r="E384" s="6">
        <v>401</v>
      </c>
      <c r="F384" s="6" t="s">
        <v>213</v>
      </c>
      <c r="G384" s="6" t="str">
        <f t="shared" si="14"/>
        <v>Not Done</v>
      </c>
    </row>
    <row r="385" spans="1:7" x14ac:dyDescent="0.25">
      <c r="A385" s="6" t="s">
        <v>224</v>
      </c>
      <c r="B385" s="6" t="s">
        <v>206</v>
      </c>
      <c r="C385" s="6">
        <v>8.0000000000000002E-3</v>
      </c>
      <c r="D385" s="6"/>
      <c r="E385" s="6">
        <v>4.5</v>
      </c>
      <c r="F385" s="6" t="s">
        <v>217</v>
      </c>
      <c r="G385" s="6" t="str">
        <f t="shared" si="14"/>
        <v>Not Done</v>
      </c>
    </row>
    <row r="386" spans="1:7" x14ac:dyDescent="0.25">
      <c r="A386" s="6" t="s">
        <v>224</v>
      </c>
      <c r="B386" s="6" t="s">
        <v>208</v>
      </c>
      <c r="C386" s="6">
        <v>0.04</v>
      </c>
      <c r="D386" s="6"/>
      <c r="E386" s="6">
        <v>2.52</v>
      </c>
      <c r="F386" s="6" t="s">
        <v>217</v>
      </c>
      <c r="G386" s="6" t="str">
        <f t="shared" si="14"/>
        <v>Not Done</v>
      </c>
    </row>
    <row r="387" spans="1:7" x14ac:dyDescent="0.25">
      <c r="A387" s="6" t="s">
        <v>224</v>
      </c>
      <c r="B387" s="6" t="s">
        <v>38</v>
      </c>
      <c r="C387" s="6">
        <v>0.8</v>
      </c>
      <c r="D387" s="6"/>
      <c r="E387" s="6">
        <v>2.0499999999999998</v>
      </c>
      <c r="F387" s="6" t="s">
        <v>217</v>
      </c>
      <c r="G387" s="6" t="str">
        <f t="shared" si="14"/>
        <v>Not Done</v>
      </c>
    </row>
    <row r="388" spans="1:7" x14ac:dyDescent="0.25">
      <c r="A388" s="6" t="s">
        <v>224</v>
      </c>
      <c r="B388" s="6" t="s">
        <v>209</v>
      </c>
      <c r="C388" s="6">
        <v>4</v>
      </c>
      <c r="D388" s="6"/>
      <c r="E388" s="6">
        <v>2.0299999999999998</v>
      </c>
      <c r="F388" s="6" t="s">
        <v>217</v>
      </c>
      <c r="G388" s="6" t="str">
        <f t="shared" si="14"/>
        <v>Not Done</v>
      </c>
    </row>
    <row r="389" spans="1:7" x14ac:dyDescent="0.25">
      <c r="A389" s="6" t="s">
        <v>224</v>
      </c>
      <c r="B389" s="6" t="s">
        <v>210</v>
      </c>
      <c r="C389" s="6">
        <v>4</v>
      </c>
      <c r="D389" s="6"/>
      <c r="E389" s="6">
        <v>4.01</v>
      </c>
      <c r="F389" s="6" t="s">
        <v>217</v>
      </c>
      <c r="G389" s="6" t="str">
        <f t="shared" si="14"/>
        <v>Not Done</v>
      </c>
    </row>
    <row r="390" spans="1:7" x14ac:dyDescent="0.25">
      <c r="A390" s="6" t="s">
        <v>225</v>
      </c>
      <c r="B390" s="6" t="s">
        <v>206</v>
      </c>
      <c r="C390" s="6">
        <v>8.0000000000000002E-3</v>
      </c>
      <c r="D390" s="6"/>
      <c r="E390" s="6">
        <v>2000</v>
      </c>
      <c r="F390" s="6" t="s">
        <v>207</v>
      </c>
      <c r="G390" s="6" t="str">
        <f t="shared" si="14"/>
        <v>Not Done</v>
      </c>
    </row>
    <row r="391" spans="1:7" x14ac:dyDescent="0.25">
      <c r="A391" s="6" t="s">
        <v>225</v>
      </c>
      <c r="B391" s="6" t="s">
        <v>208</v>
      </c>
      <c r="C391" s="6">
        <v>0.04</v>
      </c>
      <c r="D391" s="6"/>
      <c r="E391" s="6">
        <v>118</v>
      </c>
      <c r="F391" s="6" t="s">
        <v>207</v>
      </c>
      <c r="G391" s="6" t="str">
        <f t="shared" si="14"/>
        <v>Not Done</v>
      </c>
    </row>
    <row r="392" spans="1:7" x14ac:dyDescent="0.25">
      <c r="A392" s="6" t="s">
        <v>225</v>
      </c>
      <c r="B392" s="6" t="s">
        <v>38</v>
      </c>
      <c r="C392" s="6">
        <v>0.8</v>
      </c>
      <c r="D392" s="6"/>
      <c r="E392" s="6">
        <v>117</v>
      </c>
      <c r="F392" s="6" t="s">
        <v>207</v>
      </c>
      <c r="G392" s="6" t="str">
        <f t="shared" si="14"/>
        <v>Not Done</v>
      </c>
    </row>
    <row r="393" spans="1:7" x14ac:dyDescent="0.25">
      <c r="A393" s="6" t="s">
        <v>225</v>
      </c>
      <c r="B393" s="6" t="s">
        <v>209</v>
      </c>
      <c r="C393" s="6">
        <v>4</v>
      </c>
      <c r="D393" s="6"/>
      <c r="E393" s="6">
        <v>117</v>
      </c>
      <c r="F393" s="6" t="s">
        <v>207</v>
      </c>
      <c r="G393" s="6" t="str">
        <f t="shared" si="14"/>
        <v>Not Done</v>
      </c>
    </row>
    <row r="394" spans="1:7" x14ac:dyDescent="0.25">
      <c r="A394" s="6" t="s">
        <v>225</v>
      </c>
      <c r="B394" s="6" t="s">
        <v>210</v>
      </c>
      <c r="C394" s="6">
        <v>4</v>
      </c>
      <c r="D394" s="6"/>
      <c r="E394" s="6">
        <v>122</v>
      </c>
      <c r="F394" s="6" t="s">
        <v>207</v>
      </c>
      <c r="G394" s="6" t="str">
        <f t="shared" ref="G394:G425" si="15">IF(ISBLANK(D394),"Not Done",IF(D394&lt;=E394,"Pass","Fail"))</f>
        <v>Not Done</v>
      </c>
    </row>
    <row r="395" spans="1:7" x14ac:dyDescent="0.25">
      <c r="A395" s="6" t="s">
        <v>226</v>
      </c>
      <c r="B395" s="6" t="s">
        <v>206</v>
      </c>
      <c r="C395" s="6">
        <v>8</v>
      </c>
      <c r="D395" s="6"/>
      <c r="E395" s="6">
        <v>464</v>
      </c>
      <c r="F395" s="6" t="s">
        <v>207</v>
      </c>
      <c r="G395" s="6" t="str">
        <f t="shared" si="15"/>
        <v>Not Done</v>
      </c>
    </row>
    <row r="396" spans="1:7" x14ac:dyDescent="0.25">
      <c r="A396" s="6" t="s">
        <v>226</v>
      </c>
      <c r="B396" s="6" t="s">
        <v>208</v>
      </c>
      <c r="C396" s="6">
        <v>40</v>
      </c>
      <c r="D396" s="6"/>
      <c r="E396" s="6">
        <v>276</v>
      </c>
      <c r="F396" s="6" t="s">
        <v>207</v>
      </c>
      <c r="G396" s="6" t="str">
        <f t="shared" si="15"/>
        <v>Not Done</v>
      </c>
    </row>
    <row r="397" spans="1:7" x14ac:dyDescent="0.25">
      <c r="A397" s="6" t="s">
        <v>226</v>
      </c>
      <c r="B397" s="6" t="s">
        <v>38</v>
      </c>
      <c r="C397" s="6">
        <v>800</v>
      </c>
      <c r="D397" s="6"/>
      <c r="E397" s="6">
        <v>234</v>
      </c>
      <c r="F397" s="6" t="s">
        <v>207</v>
      </c>
      <c r="G397" s="6" t="str">
        <f t="shared" si="15"/>
        <v>Not Done</v>
      </c>
    </row>
    <row r="398" spans="1:7" x14ac:dyDescent="0.25">
      <c r="A398" s="6" t="s">
        <v>226</v>
      </c>
      <c r="B398" s="6" t="s">
        <v>209</v>
      </c>
      <c r="C398" s="6">
        <v>4</v>
      </c>
      <c r="D398" s="6"/>
      <c r="E398" s="6">
        <v>232</v>
      </c>
      <c r="F398" s="6" t="s">
        <v>207</v>
      </c>
      <c r="G398" s="6" t="str">
        <f t="shared" si="15"/>
        <v>Not Done</v>
      </c>
    </row>
    <row r="399" spans="1:7" x14ac:dyDescent="0.25">
      <c r="A399" s="6" t="s">
        <v>226</v>
      </c>
      <c r="B399" s="6" t="s">
        <v>210</v>
      </c>
      <c r="C399" s="6">
        <v>4</v>
      </c>
      <c r="D399" s="6"/>
      <c r="E399" s="6">
        <v>417</v>
      </c>
      <c r="F399" s="6" t="s">
        <v>207</v>
      </c>
      <c r="G399" s="6" t="str">
        <f t="shared" si="15"/>
        <v>Not Done</v>
      </c>
    </row>
    <row r="400" spans="1:7" x14ac:dyDescent="0.25">
      <c r="A400" s="6" t="s">
        <v>227</v>
      </c>
      <c r="B400" s="6" t="s">
        <v>206</v>
      </c>
      <c r="C400" s="6">
        <v>8.0000000000000002E-3</v>
      </c>
      <c r="D400" s="6"/>
      <c r="E400" s="6">
        <v>4.5</v>
      </c>
      <c r="F400" s="6" t="s">
        <v>213</v>
      </c>
      <c r="G400" s="6" t="str">
        <f t="shared" si="15"/>
        <v>Not Done</v>
      </c>
    </row>
    <row r="401" spans="1:7" x14ac:dyDescent="0.25">
      <c r="A401" s="6" t="s">
        <v>227</v>
      </c>
      <c r="B401" s="6" t="s">
        <v>208</v>
      </c>
      <c r="C401" s="6">
        <v>0.04</v>
      </c>
      <c r="D401" s="6"/>
      <c r="E401" s="6">
        <v>2.52</v>
      </c>
      <c r="F401" s="6" t="s">
        <v>213</v>
      </c>
      <c r="G401" s="6" t="str">
        <f t="shared" si="15"/>
        <v>Not Done</v>
      </c>
    </row>
    <row r="402" spans="1:7" x14ac:dyDescent="0.25">
      <c r="A402" s="6" t="s">
        <v>227</v>
      </c>
      <c r="B402" s="6" t="s">
        <v>38</v>
      </c>
      <c r="C402" s="6">
        <v>0.8</v>
      </c>
      <c r="D402" s="6"/>
      <c r="E402" s="6">
        <v>2.06</v>
      </c>
      <c r="F402" s="6" t="s">
        <v>213</v>
      </c>
      <c r="G402" s="6" t="str">
        <f t="shared" si="15"/>
        <v>Not Done</v>
      </c>
    </row>
    <row r="403" spans="1:7" x14ac:dyDescent="0.25">
      <c r="A403" s="6" t="s">
        <v>227</v>
      </c>
      <c r="B403" s="6" t="s">
        <v>209</v>
      </c>
      <c r="C403" s="6">
        <v>4</v>
      </c>
      <c r="D403" s="6"/>
      <c r="E403" s="6">
        <v>2.0299999999999998</v>
      </c>
      <c r="F403" s="6" t="s">
        <v>213</v>
      </c>
      <c r="G403" s="6" t="str">
        <f t="shared" si="15"/>
        <v>Not Done</v>
      </c>
    </row>
    <row r="404" spans="1:7" x14ac:dyDescent="0.25">
      <c r="A404" s="6" t="s">
        <v>227</v>
      </c>
      <c r="B404" s="6" t="s">
        <v>210</v>
      </c>
      <c r="C404" s="6">
        <v>4</v>
      </c>
      <c r="D404" s="6"/>
      <c r="E404" s="6">
        <v>4.01</v>
      </c>
      <c r="F404" s="6" t="s">
        <v>213</v>
      </c>
      <c r="G404" s="6" t="str">
        <f t="shared" si="15"/>
        <v>Not Done</v>
      </c>
    </row>
    <row r="405" spans="1:7" x14ac:dyDescent="0.25">
      <c r="A405" s="6" t="s">
        <v>228</v>
      </c>
      <c r="B405" s="6" t="s">
        <v>206</v>
      </c>
      <c r="C405" s="6">
        <v>8.0000000000000002E-3</v>
      </c>
      <c r="D405" s="6"/>
      <c r="E405" s="6">
        <v>45</v>
      </c>
      <c r="F405" s="6" t="s">
        <v>213</v>
      </c>
      <c r="G405" s="6" t="str">
        <f t="shared" si="15"/>
        <v>Not Done</v>
      </c>
    </row>
    <row r="406" spans="1:7" x14ac:dyDescent="0.25">
      <c r="A406" s="6" t="s">
        <v>228</v>
      </c>
      <c r="B406" s="6" t="s">
        <v>208</v>
      </c>
      <c r="C406" s="6">
        <v>0.04</v>
      </c>
      <c r="D406" s="6"/>
      <c r="E406" s="6">
        <v>25.2</v>
      </c>
      <c r="F406" s="6" t="s">
        <v>213</v>
      </c>
      <c r="G406" s="6" t="str">
        <f t="shared" si="15"/>
        <v>Not Done</v>
      </c>
    </row>
    <row r="407" spans="1:7" x14ac:dyDescent="0.25">
      <c r="A407" s="6" t="s">
        <v>228</v>
      </c>
      <c r="B407" s="6" t="s">
        <v>38</v>
      </c>
      <c r="C407" s="6">
        <v>0.8</v>
      </c>
      <c r="D407" s="6"/>
      <c r="E407" s="6">
        <v>20.5</v>
      </c>
      <c r="F407" s="6" t="s">
        <v>213</v>
      </c>
      <c r="G407" s="6" t="str">
        <f t="shared" si="15"/>
        <v>Not Done</v>
      </c>
    </row>
    <row r="408" spans="1:7" x14ac:dyDescent="0.25">
      <c r="A408" s="6" t="s">
        <v>228</v>
      </c>
      <c r="B408" s="6" t="s">
        <v>209</v>
      </c>
      <c r="C408" s="6">
        <v>4</v>
      </c>
      <c r="D408" s="6"/>
      <c r="E408" s="6">
        <v>20.3</v>
      </c>
      <c r="F408" s="6" t="s">
        <v>213</v>
      </c>
      <c r="G408" s="6" t="str">
        <f t="shared" si="15"/>
        <v>Not Done</v>
      </c>
    </row>
    <row r="409" spans="1:7" x14ac:dyDescent="0.25">
      <c r="A409" s="6" t="s">
        <v>228</v>
      </c>
      <c r="B409" s="6" t="s">
        <v>210</v>
      </c>
      <c r="C409" s="6">
        <v>4</v>
      </c>
      <c r="D409" s="6"/>
      <c r="E409" s="6">
        <v>40.1</v>
      </c>
      <c r="F409" s="6" t="s">
        <v>213</v>
      </c>
      <c r="G409" s="6" t="str">
        <f t="shared" si="15"/>
        <v>Not Done</v>
      </c>
    </row>
    <row r="410" spans="1:7" x14ac:dyDescent="0.25">
      <c r="A410" s="6" t="s">
        <v>229</v>
      </c>
      <c r="B410" s="6" t="s">
        <v>206</v>
      </c>
      <c r="C410" s="6">
        <v>8.0000000000000002E-3</v>
      </c>
      <c r="D410" s="6"/>
      <c r="E410" s="6">
        <v>450</v>
      </c>
      <c r="F410" s="6" t="s">
        <v>213</v>
      </c>
      <c r="G410" s="6" t="str">
        <f t="shared" si="15"/>
        <v>Not Done</v>
      </c>
    </row>
    <row r="411" spans="1:7" x14ac:dyDescent="0.25">
      <c r="A411" s="6" t="s">
        <v>229</v>
      </c>
      <c r="B411" s="6" t="s">
        <v>208</v>
      </c>
      <c r="C411" s="6">
        <v>0.04</v>
      </c>
      <c r="D411" s="6"/>
      <c r="E411" s="6">
        <v>252</v>
      </c>
      <c r="F411" s="6" t="s">
        <v>213</v>
      </c>
      <c r="G411" s="6" t="str">
        <f t="shared" si="15"/>
        <v>Not Done</v>
      </c>
    </row>
    <row r="412" spans="1:7" x14ac:dyDescent="0.25">
      <c r="A412" s="6" t="s">
        <v>229</v>
      </c>
      <c r="B412" s="6" t="s">
        <v>38</v>
      </c>
      <c r="C412" s="6">
        <v>0.8</v>
      </c>
      <c r="D412" s="6"/>
      <c r="E412" s="6">
        <v>205</v>
      </c>
      <c r="F412" s="6" t="s">
        <v>213</v>
      </c>
      <c r="G412" s="6" t="str">
        <f t="shared" si="15"/>
        <v>Not Done</v>
      </c>
    </row>
    <row r="413" spans="1:7" x14ac:dyDescent="0.25">
      <c r="A413" s="6" t="s">
        <v>229</v>
      </c>
      <c r="B413" s="6" t="s">
        <v>209</v>
      </c>
      <c r="C413" s="6">
        <v>4</v>
      </c>
      <c r="D413" s="6"/>
      <c r="E413" s="6">
        <v>203</v>
      </c>
      <c r="F413" s="6" t="s">
        <v>213</v>
      </c>
      <c r="G413" s="6" t="str">
        <f t="shared" si="15"/>
        <v>Not Done</v>
      </c>
    </row>
    <row r="414" spans="1:7" x14ac:dyDescent="0.25">
      <c r="A414" s="6" t="s">
        <v>229</v>
      </c>
      <c r="B414" s="6" t="s">
        <v>210</v>
      </c>
      <c r="C414" s="6">
        <v>4</v>
      </c>
      <c r="D414" s="6"/>
      <c r="E414" s="6">
        <v>401</v>
      </c>
      <c r="F414" s="6" t="s">
        <v>213</v>
      </c>
      <c r="G414" s="6" t="str">
        <f t="shared" si="15"/>
        <v>Not Done</v>
      </c>
    </row>
    <row r="415" spans="1:7" x14ac:dyDescent="0.25">
      <c r="A415" s="6" t="s">
        <v>230</v>
      </c>
      <c r="B415" s="6" t="s">
        <v>206</v>
      </c>
      <c r="C415" s="6">
        <v>8.0000000000000002E-3</v>
      </c>
      <c r="D415" s="6"/>
      <c r="E415" s="6">
        <v>4.5</v>
      </c>
      <c r="F415" s="6" t="s">
        <v>217</v>
      </c>
      <c r="G415" s="6" t="str">
        <f t="shared" si="15"/>
        <v>Not Done</v>
      </c>
    </row>
    <row r="416" spans="1:7" x14ac:dyDescent="0.25">
      <c r="A416" s="6" t="s">
        <v>230</v>
      </c>
      <c r="B416" s="6" t="s">
        <v>208</v>
      </c>
      <c r="C416" s="6">
        <v>0.04</v>
      </c>
      <c r="D416" s="6"/>
      <c r="E416" s="6">
        <v>2.52</v>
      </c>
      <c r="F416" s="6" t="s">
        <v>217</v>
      </c>
      <c r="G416" s="6" t="str">
        <f t="shared" si="15"/>
        <v>Not Done</v>
      </c>
    </row>
    <row r="417" spans="1:7" x14ac:dyDescent="0.25">
      <c r="A417" s="6" t="s">
        <v>230</v>
      </c>
      <c r="B417" s="6" t="s">
        <v>38</v>
      </c>
      <c r="C417" s="6">
        <v>0.8</v>
      </c>
      <c r="D417" s="6"/>
      <c r="E417" s="6">
        <v>2.0499999999999998</v>
      </c>
      <c r="F417" s="6" t="s">
        <v>217</v>
      </c>
      <c r="G417" s="6" t="str">
        <f t="shared" si="15"/>
        <v>Not Done</v>
      </c>
    </row>
    <row r="418" spans="1:7" x14ac:dyDescent="0.25">
      <c r="A418" s="6" t="s">
        <v>230</v>
      </c>
      <c r="B418" s="6" t="s">
        <v>209</v>
      </c>
      <c r="C418" s="6">
        <v>4</v>
      </c>
      <c r="D418" s="6"/>
      <c r="E418" s="6">
        <v>2.0299999999999998</v>
      </c>
      <c r="F418" s="6" t="s">
        <v>217</v>
      </c>
      <c r="G418" s="6" t="str">
        <f t="shared" si="15"/>
        <v>Not Done</v>
      </c>
    </row>
    <row r="419" spans="1:7" x14ac:dyDescent="0.25">
      <c r="A419" s="6" t="s">
        <v>230</v>
      </c>
      <c r="B419" s="6" t="s">
        <v>210</v>
      </c>
      <c r="C419" s="6">
        <v>4</v>
      </c>
      <c r="D419" s="6"/>
      <c r="E419" s="6">
        <v>4.01</v>
      </c>
      <c r="F419" s="6" t="s">
        <v>217</v>
      </c>
      <c r="G419" s="6" t="str">
        <f t="shared" si="15"/>
        <v>Not Done</v>
      </c>
    </row>
    <row r="420" spans="1:7" x14ac:dyDescent="0.25">
      <c r="A420" s="6" t="s">
        <v>231</v>
      </c>
      <c r="B420" s="6" t="s">
        <v>206</v>
      </c>
      <c r="C420" s="6">
        <v>8.0000000000000002E-3</v>
      </c>
      <c r="D420" s="6"/>
      <c r="E420" s="6">
        <v>2000</v>
      </c>
      <c r="F420" s="6" t="s">
        <v>207</v>
      </c>
      <c r="G420" s="6" t="str">
        <f t="shared" si="15"/>
        <v>Not Done</v>
      </c>
    </row>
    <row r="421" spans="1:7" x14ac:dyDescent="0.25">
      <c r="A421" s="6" t="s">
        <v>231</v>
      </c>
      <c r="B421" s="6" t="s">
        <v>208</v>
      </c>
      <c r="C421" s="6">
        <v>0.04</v>
      </c>
      <c r="D421" s="6"/>
      <c r="E421" s="6">
        <v>118</v>
      </c>
      <c r="F421" s="6" t="s">
        <v>207</v>
      </c>
      <c r="G421" s="6" t="str">
        <f t="shared" si="15"/>
        <v>Not Done</v>
      </c>
    </row>
    <row r="422" spans="1:7" x14ac:dyDescent="0.25">
      <c r="A422" s="6" t="s">
        <v>231</v>
      </c>
      <c r="B422" s="6" t="s">
        <v>38</v>
      </c>
      <c r="C422" s="6">
        <v>0.8</v>
      </c>
      <c r="D422" s="6"/>
      <c r="E422" s="6">
        <v>117</v>
      </c>
      <c r="F422" s="6" t="s">
        <v>207</v>
      </c>
      <c r="G422" s="6" t="str">
        <f t="shared" si="15"/>
        <v>Not Done</v>
      </c>
    </row>
    <row r="423" spans="1:7" x14ac:dyDescent="0.25">
      <c r="A423" s="6" t="s">
        <v>231</v>
      </c>
      <c r="B423" s="6" t="s">
        <v>209</v>
      </c>
      <c r="C423" s="6">
        <v>4</v>
      </c>
      <c r="D423" s="6"/>
      <c r="E423" s="6">
        <v>117</v>
      </c>
      <c r="F423" s="6" t="s">
        <v>207</v>
      </c>
      <c r="G423" s="6" t="str">
        <f t="shared" si="15"/>
        <v>Not Done</v>
      </c>
    </row>
    <row r="424" spans="1:7" x14ac:dyDescent="0.25">
      <c r="A424" s="6" t="s">
        <v>231</v>
      </c>
      <c r="B424" s="6" t="s">
        <v>210</v>
      </c>
      <c r="C424" s="6">
        <v>4</v>
      </c>
      <c r="D424" s="6"/>
      <c r="E424" s="6">
        <v>122</v>
      </c>
      <c r="F424" s="6" t="s">
        <v>207</v>
      </c>
      <c r="G424" s="6" t="str">
        <f t="shared" si="15"/>
        <v>Not Done</v>
      </c>
    </row>
    <row r="425" spans="1:7" x14ac:dyDescent="0.25">
      <c r="A425" s="6" t="s">
        <v>232</v>
      </c>
      <c r="B425" s="6" t="s">
        <v>206</v>
      </c>
      <c r="C425" s="6">
        <v>8.0000000000000002E-3</v>
      </c>
      <c r="D425" s="6"/>
      <c r="E425" s="6">
        <v>464</v>
      </c>
      <c r="F425" s="6" t="s">
        <v>207</v>
      </c>
      <c r="G425" s="6" t="str">
        <f t="shared" si="15"/>
        <v>Not Done</v>
      </c>
    </row>
    <row r="426" spans="1:7" x14ac:dyDescent="0.25">
      <c r="A426" s="6" t="s">
        <v>232</v>
      </c>
      <c r="B426" s="6" t="s">
        <v>208</v>
      </c>
      <c r="C426" s="6">
        <v>0.04</v>
      </c>
      <c r="D426" s="6"/>
      <c r="E426" s="6">
        <v>276</v>
      </c>
      <c r="F426" s="6" t="s">
        <v>207</v>
      </c>
      <c r="G426" s="6" t="str">
        <f t="shared" ref="G426:G449" si="16">IF(ISBLANK(D426),"Not Done",IF(D426&lt;=E426,"Pass","Fail"))</f>
        <v>Not Done</v>
      </c>
    </row>
    <row r="427" spans="1:7" x14ac:dyDescent="0.25">
      <c r="A427" s="6" t="s">
        <v>232</v>
      </c>
      <c r="B427" s="6" t="s">
        <v>38</v>
      </c>
      <c r="C427" s="6">
        <v>0.8</v>
      </c>
      <c r="D427" s="6"/>
      <c r="E427" s="6">
        <v>234</v>
      </c>
      <c r="F427" s="6" t="s">
        <v>207</v>
      </c>
      <c r="G427" s="6" t="str">
        <f t="shared" si="16"/>
        <v>Not Done</v>
      </c>
    </row>
    <row r="428" spans="1:7" x14ac:dyDescent="0.25">
      <c r="A428" s="6" t="s">
        <v>232</v>
      </c>
      <c r="B428" s="6" t="s">
        <v>209</v>
      </c>
      <c r="C428" s="6">
        <v>4</v>
      </c>
      <c r="D428" s="6"/>
      <c r="E428" s="6">
        <v>232</v>
      </c>
      <c r="F428" s="6" t="s">
        <v>207</v>
      </c>
      <c r="G428" s="6" t="str">
        <f t="shared" si="16"/>
        <v>Not Done</v>
      </c>
    </row>
    <row r="429" spans="1:7" x14ac:dyDescent="0.25">
      <c r="A429" s="6" t="s">
        <v>232</v>
      </c>
      <c r="B429" s="6" t="s">
        <v>210</v>
      </c>
      <c r="C429" s="6">
        <v>4</v>
      </c>
      <c r="D429" s="6"/>
      <c r="E429" s="6">
        <v>417</v>
      </c>
      <c r="F429" s="6" t="s">
        <v>207</v>
      </c>
      <c r="G429" s="6" t="str">
        <f t="shared" si="16"/>
        <v>Not Done</v>
      </c>
    </row>
    <row r="430" spans="1:7" x14ac:dyDescent="0.25">
      <c r="A430" s="6" t="s">
        <v>233</v>
      </c>
      <c r="B430" s="6" t="s">
        <v>206</v>
      </c>
      <c r="C430" s="6">
        <v>8.0000000000000002E-3</v>
      </c>
      <c r="D430" s="6"/>
      <c r="E430" s="6">
        <v>4.5</v>
      </c>
      <c r="F430" s="6" t="s">
        <v>213</v>
      </c>
      <c r="G430" s="6" t="str">
        <f t="shared" si="16"/>
        <v>Not Done</v>
      </c>
    </row>
    <row r="431" spans="1:7" x14ac:dyDescent="0.25">
      <c r="A431" s="6" t="s">
        <v>233</v>
      </c>
      <c r="B431" s="6" t="s">
        <v>208</v>
      </c>
      <c r="C431" s="6">
        <v>0.04</v>
      </c>
      <c r="D431" s="6"/>
      <c r="E431" s="6">
        <v>2.52</v>
      </c>
      <c r="F431" s="6" t="s">
        <v>213</v>
      </c>
      <c r="G431" s="6" t="str">
        <f t="shared" si="16"/>
        <v>Not Done</v>
      </c>
    </row>
    <row r="432" spans="1:7" x14ac:dyDescent="0.25">
      <c r="A432" s="6" t="s">
        <v>233</v>
      </c>
      <c r="B432" s="6" t="s">
        <v>38</v>
      </c>
      <c r="C432" s="6">
        <v>0.8</v>
      </c>
      <c r="D432" s="6"/>
      <c r="E432" s="6">
        <v>2.06</v>
      </c>
      <c r="F432" s="6" t="s">
        <v>213</v>
      </c>
      <c r="G432" s="6" t="str">
        <f t="shared" si="16"/>
        <v>Not Done</v>
      </c>
    </row>
    <row r="433" spans="1:7" x14ac:dyDescent="0.25">
      <c r="A433" s="6" t="s">
        <v>233</v>
      </c>
      <c r="B433" s="6" t="s">
        <v>209</v>
      </c>
      <c r="C433" s="6">
        <v>4</v>
      </c>
      <c r="D433" s="6"/>
      <c r="E433" s="6">
        <v>2.0299999999999998</v>
      </c>
      <c r="F433" s="6" t="s">
        <v>213</v>
      </c>
      <c r="G433" s="6" t="str">
        <f t="shared" si="16"/>
        <v>Not Done</v>
      </c>
    </row>
    <row r="434" spans="1:7" x14ac:dyDescent="0.25">
      <c r="A434" s="6" t="s">
        <v>233</v>
      </c>
      <c r="B434" s="6" t="s">
        <v>210</v>
      </c>
      <c r="C434" s="6">
        <v>4</v>
      </c>
      <c r="D434" s="6"/>
      <c r="E434" s="6">
        <v>4.01</v>
      </c>
      <c r="F434" s="6" t="s">
        <v>213</v>
      </c>
      <c r="G434" s="6" t="str">
        <f t="shared" si="16"/>
        <v>Not Done</v>
      </c>
    </row>
    <row r="435" spans="1:7" x14ac:dyDescent="0.25">
      <c r="A435" s="6" t="s">
        <v>234</v>
      </c>
      <c r="B435" s="6" t="s">
        <v>206</v>
      </c>
      <c r="C435" s="6">
        <v>8.0000000000000002E-3</v>
      </c>
      <c r="D435" s="6"/>
      <c r="E435" s="6">
        <v>45</v>
      </c>
      <c r="F435" s="6" t="s">
        <v>213</v>
      </c>
      <c r="G435" s="6" t="str">
        <f t="shared" si="16"/>
        <v>Not Done</v>
      </c>
    </row>
    <row r="436" spans="1:7" x14ac:dyDescent="0.25">
      <c r="A436" s="6" t="s">
        <v>234</v>
      </c>
      <c r="B436" s="6" t="s">
        <v>208</v>
      </c>
      <c r="C436" s="6">
        <v>0.04</v>
      </c>
      <c r="D436" s="6"/>
      <c r="E436" s="6">
        <v>25.2</v>
      </c>
      <c r="F436" s="6" t="s">
        <v>213</v>
      </c>
      <c r="G436" s="6" t="str">
        <f t="shared" si="16"/>
        <v>Not Done</v>
      </c>
    </row>
    <row r="437" spans="1:7" x14ac:dyDescent="0.25">
      <c r="A437" s="6" t="s">
        <v>234</v>
      </c>
      <c r="B437" s="6" t="s">
        <v>38</v>
      </c>
      <c r="C437" s="6">
        <v>0.8</v>
      </c>
      <c r="D437" s="6"/>
      <c r="E437" s="6">
        <v>20.5</v>
      </c>
      <c r="F437" s="6" t="s">
        <v>213</v>
      </c>
      <c r="G437" s="6" t="str">
        <f t="shared" si="16"/>
        <v>Not Done</v>
      </c>
    </row>
    <row r="438" spans="1:7" x14ac:dyDescent="0.25">
      <c r="A438" s="6" t="s">
        <v>234</v>
      </c>
      <c r="B438" s="6" t="s">
        <v>209</v>
      </c>
      <c r="C438" s="6">
        <v>4</v>
      </c>
      <c r="D438" s="6"/>
      <c r="E438" s="6">
        <v>20.3</v>
      </c>
      <c r="F438" s="6" t="s">
        <v>213</v>
      </c>
      <c r="G438" s="6" t="str">
        <f t="shared" si="16"/>
        <v>Not Done</v>
      </c>
    </row>
    <row r="439" spans="1:7" x14ac:dyDescent="0.25">
      <c r="A439" s="6" t="s">
        <v>234</v>
      </c>
      <c r="B439" s="6" t="s">
        <v>210</v>
      </c>
      <c r="C439" s="6">
        <v>4</v>
      </c>
      <c r="D439" s="6"/>
      <c r="E439" s="6">
        <v>40.1</v>
      </c>
      <c r="F439" s="6" t="s">
        <v>213</v>
      </c>
      <c r="G439" s="6" t="str">
        <f t="shared" si="16"/>
        <v>Not Done</v>
      </c>
    </row>
    <row r="440" spans="1:7" x14ac:dyDescent="0.25">
      <c r="A440" s="6" t="s">
        <v>235</v>
      </c>
      <c r="B440" s="6" t="s">
        <v>206</v>
      </c>
      <c r="C440" s="6">
        <v>8.0000000000000002E-3</v>
      </c>
      <c r="D440" s="6"/>
      <c r="E440" s="6">
        <v>450</v>
      </c>
      <c r="F440" s="6" t="s">
        <v>213</v>
      </c>
      <c r="G440" s="6" t="str">
        <f t="shared" si="16"/>
        <v>Not Done</v>
      </c>
    </row>
    <row r="441" spans="1:7" x14ac:dyDescent="0.25">
      <c r="A441" s="6" t="s">
        <v>235</v>
      </c>
      <c r="B441" s="6" t="s">
        <v>208</v>
      </c>
      <c r="C441" s="6">
        <v>0.04</v>
      </c>
      <c r="D441" s="6"/>
      <c r="E441" s="6">
        <v>252</v>
      </c>
      <c r="F441" s="6" t="s">
        <v>213</v>
      </c>
      <c r="G441" s="6" t="str">
        <f t="shared" si="16"/>
        <v>Not Done</v>
      </c>
    </row>
    <row r="442" spans="1:7" x14ac:dyDescent="0.25">
      <c r="A442" s="6" t="s">
        <v>235</v>
      </c>
      <c r="B442" s="6" t="s">
        <v>38</v>
      </c>
      <c r="C442" s="6">
        <v>0.8</v>
      </c>
      <c r="D442" s="6"/>
      <c r="E442" s="6">
        <v>205</v>
      </c>
      <c r="F442" s="6" t="s">
        <v>213</v>
      </c>
      <c r="G442" s="6" t="str">
        <f t="shared" si="16"/>
        <v>Not Done</v>
      </c>
    </row>
    <row r="443" spans="1:7" x14ac:dyDescent="0.25">
      <c r="A443" s="6" t="s">
        <v>235</v>
      </c>
      <c r="B443" s="6" t="s">
        <v>209</v>
      </c>
      <c r="C443" s="6">
        <v>4</v>
      </c>
      <c r="D443" s="6"/>
      <c r="E443" s="6">
        <v>203</v>
      </c>
      <c r="F443" s="6" t="s">
        <v>213</v>
      </c>
      <c r="G443" s="6" t="str">
        <f t="shared" si="16"/>
        <v>Not Done</v>
      </c>
    </row>
    <row r="444" spans="1:7" x14ac:dyDescent="0.25">
      <c r="A444" s="6" t="s">
        <v>235</v>
      </c>
      <c r="B444" s="6" t="s">
        <v>210</v>
      </c>
      <c r="C444" s="6">
        <v>4</v>
      </c>
      <c r="D444" s="6"/>
      <c r="E444" s="6">
        <v>401</v>
      </c>
      <c r="F444" s="6" t="s">
        <v>213</v>
      </c>
      <c r="G444" s="6" t="str">
        <f t="shared" si="16"/>
        <v>Not Done</v>
      </c>
    </row>
    <row r="445" spans="1:7" x14ac:dyDescent="0.25">
      <c r="A445" s="6" t="s">
        <v>236</v>
      </c>
      <c r="B445" s="6" t="s">
        <v>206</v>
      </c>
      <c r="C445" s="6">
        <v>8.0000000000000002E-3</v>
      </c>
      <c r="D445" s="6"/>
      <c r="E445" s="6">
        <v>4.5</v>
      </c>
      <c r="F445" s="6" t="s">
        <v>217</v>
      </c>
      <c r="G445" s="6" t="str">
        <f t="shared" si="16"/>
        <v>Not Done</v>
      </c>
    </row>
    <row r="446" spans="1:7" x14ac:dyDescent="0.25">
      <c r="A446" s="6" t="s">
        <v>236</v>
      </c>
      <c r="B446" s="6" t="s">
        <v>208</v>
      </c>
      <c r="C446" s="6">
        <v>0.04</v>
      </c>
      <c r="D446" s="6"/>
      <c r="E446" s="6">
        <v>2.52</v>
      </c>
      <c r="F446" s="6" t="s">
        <v>217</v>
      </c>
      <c r="G446" s="6" t="str">
        <f t="shared" si="16"/>
        <v>Not Done</v>
      </c>
    </row>
    <row r="447" spans="1:7" x14ac:dyDescent="0.25">
      <c r="A447" s="6" t="s">
        <v>236</v>
      </c>
      <c r="B447" s="6" t="s">
        <v>38</v>
      </c>
      <c r="C447" s="6">
        <v>0.8</v>
      </c>
      <c r="D447" s="6"/>
      <c r="E447" s="6">
        <v>2.0499999999999998</v>
      </c>
      <c r="F447" s="6" t="s">
        <v>217</v>
      </c>
      <c r="G447" s="6" t="str">
        <f t="shared" si="16"/>
        <v>Not Done</v>
      </c>
    </row>
    <row r="448" spans="1:7" x14ac:dyDescent="0.25">
      <c r="A448" s="6" t="s">
        <v>236</v>
      </c>
      <c r="B448" s="6" t="s">
        <v>209</v>
      </c>
      <c r="C448" s="6">
        <v>4</v>
      </c>
      <c r="D448" s="6"/>
      <c r="E448" s="6">
        <v>2.0299999999999998</v>
      </c>
      <c r="F448" s="6" t="s">
        <v>217</v>
      </c>
      <c r="G448" s="6" t="str">
        <f t="shared" si="16"/>
        <v>Not Done</v>
      </c>
    </row>
    <row r="449" spans="1:10" x14ac:dyDescent="0.25">
      <c r="A449" s="6" t="s">
        <v>236</v>
      </c>
      <c r="B449" s="6" t="s">
        <v>210</v>
      </c>
      <c r="C449" s="6">
        <v>4</v>
      </c>
      <c r="D449" s="6"/>
      <c r="E449" s="6">
        <v>4.01</v>
      </c>
      <c r="F449" s="6" t="s">
        <v>217</v>
      </c>
      <c r="G449" s="6" t="str">
        <f t="shared" si="16"/>
        <v>Not Done</v>
      </c>
    </row>
    <row r="451" spans="1:10" ht="15.75" x14ac:dyDescent="0.25">
      <c r="A451" s="4" t="s">
        <v>237</v>
      </c>
    </row>
    <row r="452" spans="1:10" x14ac:dyDescent="0.25">
      <c r="A452" s="5" t="s">
        <v>25</v>
      </c>
      <c r="B452" s="5" t="s">
        <v>238</v>
      </c>
      <c r="C452" s="5" t="s">
        <v>239</v>
      </c>
      <c r="D452" s="5" t="s">
        <v>240</v>
      </c>
      <c r="E452" s="5" t="s">
        <v>31</v>
      </c>
      <c r="F452" s="5" t="s">
        <v>32</v>
      </c>
      <c r="G452" s="5" t="s">
        <v>33</v>
      </c>
      <c r="H452" s="5" t="s">
        <v>34</v>
      </c>
      <c r="I452" s="5" t="s">
        <v>26</v>
      </c>
    </row>
    <row r="453" spans="1:10" x14ac:dyDescent="0.25">
      <c r="A453" s="6" t="s">
        <v>241</v>
      </c>
      <c r="B453" s="6" t="s">
        <v>242</v>
      </c>
      <c r="C453" s="6"/>
      <c r="D453" s="6"/>
      <c r="E453" s="6">
        <v>-0.1</v>
      </c>
      <c r="F453" s="7">
        <f t="shared" ref="F453:F482" si="17">IFERROR(((C453+D453)/2),"Not Done")</f>
        <v>0</v>
      </c>
      <c r="G453" s="6">
        <v>0.1</v>
      </c>
      <c r="H453" s="6" t="s">
        <v>83</v>
      </c>
      <c r="I453" s="6"/>
      <c r="J453" t="s">
        <v>243</v>
      </c>
    </row>
    <row r="454" spans="1:10" x14ac:dyDescent="0.25">
      <c r="A454" s="6" t="s">
        <v>241</v>
      </c>
      <c r="B454" s="6" t="s">
        <v>244</v>
      </c>
      <c r="C454" s="6"/>
      <c r="D454" s="6"/>
      <c r="E454" s="6">
        <v>3.78</v>
      </c>
      <c r="F454" s="7">
        <f t="shared" si="17"/>
        <v>0</v>
      </c>
      <c r="G454" s="6">
        <v>4.22</v>
      </c>
      <c r="H454" s="6" t="s">
        <v>83</v>
      </c>
      <c r="I454" s="6"/>
      <c r="J454" t="s">
        <v>243</v>
      </c>
    </row>
    <row r="455" spans="1:10" x14ac:dyDescent="0.25">
      <c r="A455" s="6" t="s">
        <v>245</v>
      </c>
      <c r="B455" s="6" t="s">
        <v>242</v>
      </c>
      <c r="C455" s="6"/>
      <c r="D455" s="6"/>
      <c r="E455" s="6">
        <v>-0.1</v>
      </c>
      <c r="F455" s="7">
        <f t="shared" si="17"/>
        <v>0</v>
      </c>
      <c r="G455" s="6">
        <v>0.1</v>
      </c>
      <c r="H455" s="6" t="s">
        <v>83</v>
      </c>
      <c r="I455" s="6"/>
      <c r="J455" t="s">
        <v>243</v>
      </c>
    </row>
    <row r="456" spans="1:10" x14ac:dyDescent="0.25">
      <c r="A456" s="6" t="s">
        <v>245</v>
      </c>
      <c r="B456" s="6" t="s">
        <v>244</v>
      </c>
      <c r="C456" s="6"/>
      <c r="D456" s="6"/>
      <c r="E456" s="6">
        <v>3.78</v>
      </c>
      <c r="F456" s="7">
        <f t="shared" si="17"/>
        <v>0</v>
      </c>
      <c r="G456" s="6">
        <v>4.22</v>
      </c>
      <c r="H456" s="6" t="s">
        <v>83</v>
      </c>
      <c r="I456" s="6"/>
      <c r="J456" t="s">
        <v>243</v>
      </c>
    </row>
    <row r="457" spans="1:10" x14ac:dyDescent="0.25">
      <c r="A457" s="6" t="s">
        <v>246</v>
      </c>
      <c r="B457" s="6" t="s">
        <v>242</v>
      </c>
      <c r="C457" s="6"/>
      <c r="D457" s="6"/>
      <c r="E457" s="6">
        <v>-0.1</v>
      </c>
      <c r="F457" s="7">
        <f t="shared" si="17"/>
        <v>0</v>
      </c>
      <c r="G457" s="6">
        <v>0.1</v>
      </c>
      <c r="H457" s="6" t="s">
        <v>83</v>
      </c>
      <c r="I457" s="6"/>
      <c r="J457" t="s">
        <v>243</v>
      </c>
    </row>
    <row r="458" spans="1:10" x14ac:dyDescent="0.25">
      <c r="A458" s="6" t="s">
        <v>246</v>
      </c>
      <c r="B458" s="6" t="s">
        <v>244</v>
      </c>
      <c r="C458" s="6"/>
      <c r="D458" s="6"/>
      <c r="E458" s="6">
        <v>3.78</v>
      </c>
      <c r="F458" s="7">
        <f t="shared" si="17"/>
        <v>0</v>
      </c>
      <c r="G458" s="6">
        <v>4.22</v>
      </c>
      <c r="H458" s="6" t="s">
        <v>83</v>
      </c>
      <c r="I458" s="6"/>
      <c r="J458" t="s">
        <v>243</v>
      </c>
    </row>
    <row r="459" spans="1:10" x14ac:dyDescent="0.25">
      <c r="A459" s="6" t="s">
        <v>247</v>
      </c>
      <c r="B459" s="6" t="s">
        <v>242</v>
      </c>
      <c r="C459" s="6"/>
      <c r="D459" s="6"/>
      <c r="E459" s="6">
        <v>-0.1</v>
      </c>
      <c r="F459" s="7">
        <f t="shared" si="17"/>
        <v>0</v>
      </c>
      <c r="G459" s="6">
        <v>0.1</v>
      </c>
      <c r="H459" s="6" t="s">
        <v>83</v>
      </c>
      <c r="I459" s="6"/>
      <c r="J459" t="s">
        <v>243</v>
      </c>
    </row>
    <row r="460" spans="1:10" x14ac:dyDescent="0.25">
      <c r="A460" s="6" t="s">
        <v>247</v>
      </c>
      <c r="B460" s="6" t="s">
        <v>244</v>
      </c>
      <c r="C460" s="6"/>
      <c r="D460" s="6"/>
      <c r="E460" s="6">
        <v>3.78</v>
      </c>
      <c r="F460" s="7">
        <f t="shared" si="17"/>
        <v>0</v>
      </c>
      <c r="G460" s="6">
        <v>4.22</v>
      </c>
      <c r="H460" s="6" t="s">
        <v>83</v>
      </c>
      <c r="I460" s="6"/>
      <c r="J460" t="s">
        <v>243</v>
      </c>
    </row>
    <row r="461" spans="1:10" x14ac:dyDescent="0.25">
      <c r="A461" s="6" t="s">
        <v>248</v>
      </c>
      <c r="B461" s="6" t="s">
        <v>242</v>
      </c>
      <c r="C461" s="6"/>
      <c r="D461" s="6"/>
      <c r="E461" s="6">
        <v>-0.1</v>
      </c>
      <c r="F461" s="7">
        <f t="shared" si="17"/>
        <v>0</v>
      </c>
      <c r="G461" s="6">
        <v>0.1</v>
      </c>
      <c r="H461" s="6" t="s">
        <v>83</v>
      </c>
      <c r="I461" s="6"/>
      <c r="J461" t="s">
        <v>243</v>
      </c>
    </row>
    <row r="462" spans="1:10" x14ac:dyDescent="0.25">
      <c r="A462" s="6" t="s">
        <v>248</v>
      </c>
      <c r="B462" s="6" t="s">
        <v>244</v>
      </c>
      <c r="C462" s="6"/>
      <c r="D462" s="6"/>
      <c r="E462" s="6">
        <v>3.78</v>
      </c>
      <c r="F462" s="7">
        <f t="shared" si="17"/>
        <v>0</v>
      </c>
      <c r="G462" s="6">
        <v>4.22</v>
      </c>
      <c r="H462" s="6" t="s">
        <v>83</v>
      </c>
      <c r="I462" s="6"/>
      <c r="J462" t="s">
        <v>243</v>
      </c>
    </row>
    <row r="463" spans="1:10" x14ac:dyDescent="0.25">
      <c r="A463" s="6" t="s">
        <v>249</v>
      </c>
      <c r="B463" s="6" t="s">
        <v>242</v>
      </c>
      <c r="C463" s="6"/>
      <c r="D463" s="6"/>
      <c r="E463" s="6">
        <v>-0.1</v>
      </c>
      <c r="F463" s="7">
        <f t="shared" si="17"/>
        <v>0</v>
      </c>
      <c r="G463" s="6">
        <v>0.1</v>
      </c>
      <c r="H463" s="6" t="s">
        <v>83</v>
      </c>
      <c r="I463" s="6"/>
      <c r="J463" t="s">
        <v>243</v>
      </c>
    </row>
    <row r="464" spans="1:10" x14ac:dyDescent="0.25">
      <c r="A464" s="6" t="s">
        <v>249</v>
      </c>
      <c r="B464" s="6" t="s">
        <v>244</v>
      </c>
      <c r="C464" s="6"/>
      <c r="D464" s="6"/>
      <c r="E464" s="6">
        <v>3.78</v>
      </c>
      <c r="F464" s="7">
        <f t="shared" si="17"/>
        <v>0</v>
      </c>
      <c r="G464" s="6">
        <v>4.22</v>
      </c>
      <c r="H464" s="6" t="s">
        <v>83</v>
      </c>
      <c r="I464" s="6"/>
      <c r="J464" t="s">
        <v>243</v>
      </c>
    </row>
    <row r="465" spans="1:10" x14ac:dyDescent="0.25">
      <c r="A465" s="6" t="s">
        <v>250</v>
      </c>
      <c r="B465" s="6" t="s">
        <v>242</v>
      </c>
      <c r="C465" s="6"/>
      <c r="D465" s="6"/>
      <c r="E465" s="6">
        <v>-0.1</v>
      </c>
      <c r="F465" s="7">
        <f t="shared" si="17"/>
        <v>0</v>
      </c>
      <c r="G465" s="6">
        <v>0.1</v>
      </c>
      <c r="H465" s="6" t="s">
        <v>83</v>
      </c>
      <c r="I465" s="6"/>
      <c r="J465" t="s">
        <v>243</v>
      </c>
    </row>
    <row r="466" spans="1:10" x14ac:dyDescent="0.25">
      <c r="A466" s="6" t="s">
        <v>250</v>
      </c>
      <c r="B466" s="6" t="s">
        <v>244</v>
      </c>
      <c r="C466" s="6"/>
      <c r="D466" s="6"/>
      <c r="E466" s="6">
        <v>3.78</v>
      </c>
      <c r="F466" s="7">
        <f t="shared" si="17"/>
        <v>0</v>
      </c>
      <c r="G466" s="6">
        <v>4.22</v>
      </c>
      <c r="H466" s="6" t="s">
        <v>83</v>
      </c>
      <c r="I466" s="6"/>
      <c r="J466" t="s">
        <v>243</v>
      </c>
    </row>
    <row r="467" spans="1:10" x14ac:dyDescent="0.25">
      <c r="A467" s="6" t="s">
        <v>251</v>
      </c>
      <c r="B467" s="6" t="s">
        <v>242</v>
      </c>
      <c r="C467" s="6"/>
      <c r="D467" s="6"/>
      <c r="E467" s="6">
        <v>-0.1</v>
      </c>
      <c r="F467" s="7">
        <f t="shared" si="17"/>
        <v>0</v>
      </c>
      <c r="G467" s="6">
        <v>0.1</v>
      </c>
      <c r="H467" s="6" t="s">
        <v>83</v>
      </c>
      <c r="I467" s="6"/>
      <c r="J467" t="s">
        <v>243</v>
      </c>
    </row>
    <row r="468" spans="1:10" x14ac:dyDescent="0.25">
      <c r="A468" s="6" t="s">
        <v>251</v>
      </c>
      <c r="B468" s="6" t="s">
        <v>244</v>
      </c>
      <c r="C468" s="6"/>
      <c r="D468" s="6"/>
      <c r="E468" s="6">
        <v>3.78</v>
      </c>
      <c r="F468" s="7">
        <f t="shared" si="17"/>
        <v>0</v>
      </c>
      <c r="G468" s="6">
        <v>4.22</v>
      </c>
      <c r="H468" s="6" t="s">
        <v>83</v>
      </c>
      <c r="I468" s="6"/>
      <c r="J468" t="s">
        <v>243</v>
      </c>
    </row>
    <row r="469" spans="1:10" x14ac:dyDescent="0.25">
      <c r="A469" s="6" t="s">
        <v>252</v>
      </c>
      <c r="B469" s="6" t="s">
        <v>242</v>
      </c>
      <c r="C469" s="6"/>
      <c r="D469" s="6"/>
      <c r="E469" s="6">
        <v>-0.1</v>
      </c>
      <c r="F469" s="7">
        <f t="shared" si="17"/>
        <v>0</v>
      </c>
      <c r="G469" s="6">
        <v>0.1</v>
      </c>
      <c r="H469" s="6" t="s">
        <v>83</v>
      </c>
      <c r="I469" s="6"/>
      <c r="J469" t="s">
        <v>243</v>
      </c>
    </row>
    <row r="470" spans="1:10" x14ac:dyDescent="0.25">
      <c r="A470" s="6" t="s">
        <v>252</v>
      </c>
      <c r="B470" s="6" t="s">
        <v>244</v>
      </c>
      <c r="C470" s="6"/>
      <c r="D470" s="6"/>
      <c r="E470" s="6">
        <v>3.78</v>
      </c>
      <c r="F470" s="7">
        <f t="shared" si="17"/>
        <v>0</v>
      </c>
      <c r="G470" s="6">
        <v>4.22</v>
      </c>
      <c r="H470" s="6" t="s">
        <v>83</v>
      </c>
      <c r="I470" s="6"/>
      <c r="J470" t="s">
        <v>243</v>
      </c>
    </row>
    <row r="471" spans="1:10" x14ac:dyDescent="0.25">
      <c r="A471" s="6" t="s">
        <v>253</v>
      </c>
      <c r="B471" s="6" t="s">
        <v>242</v>
      </c>
      <c r="C471" s="6"/>
      <c r="D471" s="6"/>
      <c r="E471" s="6">
        <v>-0.1</v>
      </c>
      <c r="F471" s="7">
        <f t="shared" si="17"/>
        <v>0</v>
      </c>
      <c r="G471" s="6">
        <v>0.1</v>
      </c>
      <c r="H471" s="6" t="s">
        <v>83</v>
      </c>
      <c r="I471" s="6"/>
      <c r="J471" t="s">
        <v>243</v>
      </c>
    </row>
    <row r="472" spans="1:10" x14ac:dyDescent="0.25">
      <c r="A472" s="6" t="s">
        <v>253</v>
      </c>
      <c r="B472" s="6" t="s">
        <v>244</v>
      </c>
      <c r="C472" s="6"/>
      <c r="D472" s="6"/>
      <c r="E472" s="6">
        <v>3.78</v>
      </c>
      <c r="F472" s="7">
        <f t="shared" si="17"/>
        <v>0</v>
      </c>
      <c r="G472" s="6">
        <v>4.22</v>
      </c>
      <c r="H472" s="6" t="s">
        <v>83</v>
      </c>
      <c r="I472" s="6"/>
      <c r="J472" t="s">
        <v>243</v>
      </c>
    </row>
    <row r="473" spans="1:10" x14ac:dyDescent="0.25">
      <c r="A473" s="6" t="s">
        <v>254</v>
      </c>
      <c r="B473" s="6" t="s">
        <v>242</v>
      </c>
      <c r="C473" s="6"/>
      <c r="D473" s="6"/>
      <c r="E473" s="6">
        <v>-0.1</v>
      </c>
      <c r="F473" s="7">
        <f t="shared" si="17"/>
        <v>0</v>
      </c>
      <c r="G473" s="6">
        <v>0.1</v>
      </c>
      <c r="H473" s="6" t="s">
        <v>83</v>
      </c>
      <c r="I473" s="6"/>
      <c r="J473" t="s">
        <v>243</v>
      </c>
    </row>
    <row r="474" spans="1:10" x14ac:dyDescent="0.25">
      <c r="A474" s="6" t="s">
        <v>254</v>
      </c>
      <c r="B474" s="6" t="s">
        <v>244</v>
      </c>
      <c r="C474" s="6"/>
      <c r="D474" s="6"/>
      <c r="E474" s="6">
        <v>3.78</v>
      </c>
      <c r="F474" s="7">
        <f t="shared" si="17"/>
        <v>0</v>
      </c>
      <c r="G474" s="6">
        <v>4.22</v>
      </c>
      <c r="H474" s="6" t="s">
        <v>83</v>
      </c>
      <c r="I474" s="6"/>
      <c r="J474" t="s">
        <v>243</v>
      </c>
    </row>
    <row r="475" spans="1:10" x14ac:dyDescent="0.25">
      <c r="A475" s="6" t="s">
        <v>255</v>
      </c>
      <c r="B475" s="6" t="s">
        <v>242</v>
      </c>
      <c r="C475" s="6"/>
      <c r="D475" s="6"/>
      <c r="E475" s="6">
        <v>-0.1</v>
      </c>
      <c r="F475" s="7">
        <f t="shared" si="17"/>
        <v>0</v>
      </c>
      <c r="G475" s="6">
        <v>0.1</v>
      </c>
      <c r="H475" s="6" t="s">
        <v>83</v>
      </c>
      <c r="I475" s="6"/>
      <c r="J475" t="s">
        <v>243</v>
      </c>
    </row>
    <row r="476" spans="1:10" x14ac:dyDescent="0.25">
      <c r="A476" s="6" t="s">
        <v>255</v>
      </c>
      <c r="B476" s="6" t="s">
        <v>244</v>
      </c>
      <c r="C476" s="6"/>
      <c r="D476" s="6"/>
      <c r="E476" s="6">
        <v>3.78</v>
      </c>
      <c r="F476" s="7">
        <f t="shared" si="17"/>
        <v>0</v>
      </c>
      <c r="G476" s="6">
        <v>4.22</v>
      </c>
      <c r="H476" s="6" t="s">
        <v>83</v>
      </c>
      <c r="I476" s="6"/>
      <c r="J476" t="s">
        <v>243</v>
      </c>
    </row>
    <row r="477" spans="1:10" x14ac:dyDescent="0.25">
      <c r="A477" s="6" t="s">
        <v>256</v>
      </c>
      <c r="B477" s="6" t="s">
        <v>242</v>
      </c>
      <c r="C477" s="6"/>
      <c r="D477" s="6"/>
      <c r="E477" s="6">
        <v>-0.1</v>
      </c>
      <c r="F477" s="7">
        <f t="shared" si="17"/>
        <v>0</v>
      </c>
      <c r="G477" s="6">
        <v>0.1</v>
      </c>
      <c r="H477" s="6" t="s">
        <v>83</v>
      </c>
      <c r="I477" s="6"/>
      <c r="J477" t="s">
        <v>243</v>
      </c>
    </row>
    <row r="478" spans="1:10" x14ac:dyDescent="0.25">
      <c r="A478" s="6" t="s">
        <v>256</v>
      </c>
      <c r="B478" s="6" t="s">
        <v>244</v>
      </c>
      <c r="C478" s="6"/>
      <c r="D478" s="6"/>
      <c r="E478" s="6">
        <v>3.78</v>
      </c>
      <c r="F478" s="7">
        <f t="shared" si="17"/>
        <v>0</v>
      </c>
      <c r="G478" s="6">
        <v>4.22</v>
      </c>
      <c r="H478" s="6" t="s">
        <v>83</v>
      </c>
      <c r="I478" s="6"/>
      <c r="J478" t="s">
        <v>243</v>
      </c>
    </row>
    <row r="479" spans="1:10" x14ac:dyDescent="0.25">
      <c r="A479" s="6" t="s">
        <v>257</v>
      </c>
      <c r="B479" s="6" t="s">
        <v>242</v>
      </c>
      <c r="C479" s="6"/>
      <c r="D479" s="6"/>
      <c r="E479" s="6">
        <v>-0.1</v>
      </c>
      <c r="F479" s="7">
        <f t="shared" si="17"/>
        <v>0</v>
      </c>
      <c r="G479" s="6">
        <v>0.1</v>
      </c>
      <c r="H479" s="6" t="s">
        <v>83</v>
      </c>
      <c r="I479" s="6"/>
      <c r="J479" t="s">
        <v>243</v>
      </c>
    </row>
    <row r="480" spans="1:10" x14ac:dyDescent="0.25">
      <c r="A480" s="6" t="s">
        <v>257</v>
      </c>
      <c r="B480" s="6" t="s">
        <v>244</v>
      </c>
      <c r="C480" s="6"/>
      <c r="D480" s="6"/>
      <c r="E480" s="6">
        <v>3.78</v>
      </c>
      <c r="F480" s="7">
        <f t="shared" si="17"/>
        <v>0</v>
      </c>
      <c r="G480" s="6">
        <v>4.22</v>
      </c>
      <c r="H480" s="6" t="s">
        <v>83</v>
      </c>
      <c r="I480" s="6"/>
      <c r="J480" t="s">
        <v>243</v>
      </c>
    </row>
    <row r="481" spans="1:10" x14ac:dyDescent="0.25">
      <c r="A481" s="6" t="s">
        <v>258</v>
      </c>
      <c r="B481" s="6" t="s">
        <v>242</v>
      </c>
      <c r="C481" s="6"/>
      <c r="D481" s="6"/>
      <c r="E481" s="6">
        <v>-0.1</v>
      </c>
      <c r="F481" s="7">
        <f t="shared" si="17"/>
        <v>0</v>
      </c>
      <c r="G481" s="6">
        <v>0.1</v>
      </c>
      <c r="H481" s="6" t="s">
        <v>83</v>
      </c>
      <c r="I481" s="6"/>
      <c r="J481" t="s">
        <v>243</v>
      </c>
    </row>
    <row r="482" spans="1:10" x14ac:dyDescent="0.25">
      <c r="A482" s="6" t="s">
        <v>258</v>
      </c>
      <c r="B482" s="6" t="s">
        <v>244</v>
      </c>
      <c r="C482" s="6"/>
      <c r="D482" s="6"/>
      <c r="E482" s="6">
        <v>3.78</v>
      </c>
      <c r="F482" s="7">
        <f t="shared" si="17"/>
        <v>0</v>
      </c>
      <c r="G482" s="6">
        <v>4.22</v>
      </c>
      <c r="H482" s="6" t="s">
        <v>83</v>
      </c>
      <c r="I482" s="6"/>
      <c r="J482" t="s">
        <v>243</v>
      </c>
    </row>
    <row r="484" spans="1:10" ht="15.75" x14ac:dyDescent="0.25">
      <c r="A484" s="4" t="s">
        <v>259</v>
      </c>
    </row>
    <row r="485" spans="1:10" x14ac:dyDescent="0.25">
      <c r="A485" s="5" t="s">
        <v>25</v>
      </c>
      <c r="B485" s="5" t="s">
        <v>191</v>
      </c>
      <c r="C485" s="5" t="s">
        <v>31</v>
      </c>
      <c r="D485" s="5" t="s">
        <v>32</v>
      </c>
      <c r="E485" s="5" t="s">
        <v>34</v>
      </c>
      <c r="F485" s="5" t="s">
        <v>26</v>
      </c>
    </row>
    <row r="486" spans="1:10" x14ac:dyDescent="0.25">
      <c r="A486" s="6" t="s">
        <v>260</v>
      </c>
      <c r="B486" s="6" t="s">
        <v>194</v>
      </c>
      <c r="C486" s="6">
        <v>2.5</v>
      </c>
      <c r="D486" s="6"/>
      <c r="E486" s="6" t="s">
        <v>83</v>
      </c>
      <c r="F486" s="6" t="str">
        <f>IF(ISBLANK(D486),"Not Done",IF(D486&gt;=C486,"Pass","Fail"))</f>
        <v>Not Done</v>
      </c>
    </row>
    <row r="487" spans="1:10" x14ac:dyDescent="0.25">
      <c r="A487" s="6" t="s">
        <v>260</v>
      </c>
      <c r="B487" s="6" t="s">
        <v>197</v>
      </c>
      <c r="C487" s="6">
        <v>1</v>
      </c>
      <c r="D487" s="6"/>
      <c r="E487" s="6" t="s">
        <v>83</v>
      </c>
      <c r="F487" s="6" t="str">
        <f>IF(ISBLANK(D487),"Not Done",IF(D487&gt;=C487,"Pass","Fail"))</f>
        <v>Not Done</v>
      </c>
    </row>
    <row r="489" spans="1:10" ht="15.75" x14ac:dyDescent="0.25">
      <c r="A489" s="4" t="s">
        <v>261</v>
      </c>
    </row>
    <row r="490" spans="1:10" x14ac:dyDescent="0.25">
      <c r="A490" s="5" t="s">
        <v>25</v>
      </c>
      <c r="B490" s="5" t="s">
        <v>191</v>
      </c>
      <c r="C490" s="5" t="s">
        <v>32</v>
      </c>
      <c r="D490" s="5" t="s">
        <v>33</v>
      </c>
      <c r="E490" s="5" t="s">
        <v>34</v>
      </c>
      <c r="F490" s="5" t="s">
        <v>26</v>
      </c>
    </row>
    <row r="491" spans="1:10" x14ac:dyDescent="0.25">
      <c r="A491" s="6" t="s">
        <v>262</v>
      </c>
      <c r="B491" s="6" t="s">
        <v>194</v>
      </c>
      <c r="C491" s="6"/>
      <c r="D491" s="6">
        <v>0.7</v>
      </c>
      <c r="E491" s="6" t="s">
        <v>83</v>
      </c>
      <c r="F491" s="6" t="str">
        <f>IF(ISBLANK(C491),"Not Done",IF(C491&lt;=D491,"Pass","Fail"))</f>
        <v>Not Done</v>
      </c>
    </row>
    <row r="492" spans="1:10" x14ac:dyDescent="0.25">
      <c r="A492" s="6" t="s">
        <v>262</v>
      </c>
      <c r="B492" s="6" t="s">
        <v>197</v>
      </c>
      <c r="C492" s="6"/>
      <c r="D492" s="6">
        <v>0.25</v>
      </c>
      <c r="E492" s="6" t="s">
        <v>83</v>
      </c>
      <c r="F492" s="6" t="str">
        <f>IF(ISBLANK(C492),"Not Done",IF(C492&lt;=D492,"Pass","Fail"))</f>
        <v>Not Done</v>
      </c>
    </row>
    <row r="494" spans="1:10" x14ac:dyDescent="0.25">
      <c r="C494" s="10" t="s">
        <v>263</v>
      </c>
    </row>
  </sheetData>
  <conditionalFormatting sqref="B5">
    <cfRule type="containsText" dxfId="1524" priority="1" operator="containsText" text="highlight">
      <formula>ISBLANK(B5)</formula>
    </cfRule>
  </conditionalFormatting>
  <conditionalFormatting sqref="F5">
    <cfRule type="containsText" dxfId="1523" priority="2" operator="containsText" text="highlight">
      <formula>ISBLANK(F5)</formula>
    </cfRule>
  </conditionalFormatting>
  <conditionalFormatting sqref="B7">
    <cfRule type="containsText" dxfId="1522" priority="3" operator="containsText" text="highlight">
      <formula>ISBLANK(B7)</formula>
    </cfRule>
  </conditionalFormatting>
  <conditionalFormatting sqref="F9">
    <cfRule type="containsText" dxfId="1521" priority="4" operator="containsText" text="highlight">
      <formula>ISBLANK(F9)</formula>
    </cfRule>
  </conditionalFormatting>
  <conditionalFormatting sqref="B11">
    <cfRule type="containsText" dxfId="1520" priority="5" operator="containsText" text="highlight">
      <formula>ISBLANK(B11)</formula>
    </cfRule>
  </conditionalFormatting>
  <conditionalFormatting sqref="F10">
    <cfRule type="containsText" dxfId="1519" priority="6" operator="containsText" text="highlight">
      <formula>ISBLANK(F10)</formula>
    </cfRule>
  </conditionalFormatting>
  <conditionalFormatting sqref="B15">
    <cfRule type="containsText" dxfId="1518" priority="7" operator="containsText" text="highlight">
      <formula>ISBLANK(B15)</formula>
    </cfRule>
  </conditionalFormatting>
  <conditionalFormatting sqref="C15">
    <cfRule type="containsText" dxfId="1517" priority="8" operator="containsText" text="highlight">
      <formula>ISBLANK(C15)</formula>
    </cfRule>
    <cfRule type="containsText" dxfId="1516" priority="9" operator="containsText" text="highlight">
      <formula>C15="Fail"</formula>
    </cfRule>
    <cfRule type="containsText" dxfId="1515" priority="10" operator="containsText" text="highlight">
      <formula>C15="Pass"</formula>
    </cfRule>
  </conditionalFormatting>
  <conditionalFormatting sqref="B16">
    <cfRule type="containsText" dxfId="1514" priority="11" operator="containsText" text="highlight">
      <formula>ISBLANK(B16)</formula>
    </cfRule>
  </conditionalFormatting>
  <conditionalFormatting sqref="C16">
    <cfRule type="containsText" dxfId="1513" priority="12" operator="containsText" text="highlight">
      <formula>ISBLANK(C16)</formula>
    </cfRule>
    <cfRule type="containsText" dxfId="1512" priority="13" operator="containsText" text="highlight">
      <formula>C16="Fail"</formula>
    </cfRule>
    <cfRule type="containsText" dxfId="1511" priority="14" operator="containsText" text="highlight">
      <formula>C16="Pass"</formula>
    </cfRule>
  </conditionalFormatting>
  <conditionalFormatting sqref="D20">
    <cfRule type="containsText" dxfId="1510" priority="15" operator="containsText" text="highlight">
      <formula>ISBLANK(D20)</formula>
    </cfRule>
  </conditionalFormatting>
  <conditionalFormatting sqref="G20">
    <cfRule type="containsText" dxfId="1509" priority="16" operator="containsText" text="highlight">
      <formula>G20="Fail"</formula>
    </cfRule>
    <cfRule type="containsText" dxfId="1508" priority="17" operator="containsText" text="highlight">
      <formula>G20="Pass"</formula>
    </cfRule>
  </conditionalFormatting>
  <conditionalFormatting sqref="D21">
    <cfRule type="containsText" dxfId="1507" priority="18" operator="containsText" text="highlight">
      <formula>ISBLANK(D21)</formula>
    </cfRule>
  </conditionalFormatting>
  <conditionalFormatting sqref="G21">
    <cfRule type="containsText" dxfId="1506" priority="19" operator="containsText" text="highlight">
      <formula>G21="Fail"</formula>
    </cfRule>
    <cfRule type="containsText" dxfId="1505" priority="20" operator="containsText" text="highlight">
      <formula>G21="Pass"</formula>
    </cfRule>
  </conditionalFormatting>
  <conditionalFormatting sqref="D22">
    <cfRule type="containsText" dxfId="1504" priority="21" operator="containsText" text="highlight">
      <formula>ISBLANK(D22)</formula>
    </cfRule>
  </conditionalFormatting>
  <conditionalFormatting sqref="G22">
    <cfRule type="containsText" dxfId="1503" priority="22" operator="containsText" text="highlight">
      <formula>G22="Fail"</formula>
    </cfRule>
    <cfRule type="containsText" dxfId="1502" priority="23" operator="containsText" text="highlight">
      <formula>G22="Pass"</formula>
    </cfRule>
  </conditionalFormatting>
  <conditionalFormatting sqref="D23">
    <cfRule type="containsText" dxfId="1501" priority="24" operator="containsText" text="highlight">
      <formula>ISBLANK(D23)</formula>
    </cfRule>
  </conditionalFormatting>
  <conditionalFormatting sqref="G23">
    <cfRule type="containsText" dxfId="1500" priority="25" operator="containsText" text="highlight">
      <formula>G23="Fail"</formula>
    </cfRule>
    <cfRule type="containsText" dxfId="1499" priority="26" operator="containsText" text="highlight">
      <formula>G23="Pass"</formula>
    </cfRule>
  </conditionalFormatting>
  <conditionalFormatting sqref="D24">
    <cfRule type="containsText" dxfId="1498" priority="27" operator="containsText" text="highlight">
      <formula>ISBLANK(D24)</formula>
    </cfRule>
  </conditionalFormatting>
  <conditionalFormatting sqref="G24">
    <cfRule type="containsText" dxfId="1497" priority="28" operator="containsText" text="highlight">
      <formula>G24="Fail"</formula>
    </cfRule>
    <cfRule type="containsText" dxfId="1496" priority="29" operator="containsText" text="highlight">
      <formula>G24="Pass"</formula>
    </cfRule>
  </conditionalFormatting>
  <conditionalFormatting sqref="D25">
    <cfRule type="containsText" dxfId="1495" priority="30" operator="containsText" text="highlight">
      <formula>ISBLANK(D25)</formula>
    </cfRule>
  </conditionalFormatting>
  <conditionalFormatting sqref="G25">
    <cfRule type="containsText" dxfId="1494" priority="31" operator="containsText" text="highlight">
      <formula>G25="Fail"</formula>
    </cfRule>
    <cfRule type="containsText" dxfId="1493" priority="32" operator="containsText" text="highlight">
      <formula>G25="Pass"</formula>
    </cfRule>
  </conditionalFormatting>
  <conditionalFormatting sqref="D26">
    <cfRule type="containsText" dxfId="1492" priority="33" operator="containsText" text="highlight">
      <formula>ISBLANK(D26)</formula>
    </cfRule>
  </conditionalFormatting>
  <conditionalFormatting sqref="G26">
    <cfRule type="containsText" dxfId="1491" priority="34" operator="containsText" text="highlight">
      <formula>G26="Fail"</formula>
    </cfRule>
    <cfRule type="containsText" dxfId="1490" priority="35" operator="containsText" text="highlight">
      <formula>G26="Pass"</formula>
    </cfRule>
  </conditionalFormatting>
  <conditionalFormatting sqref="D27">
    <cfRule type="containsText" dxfId="1489" priority="36" operator="containsText" text="highlight">
      <formula>ISBLANK(D27)</formula>
    </cfRule>
  </conditionalFormatting>
  <conditionalFormatting sqref="G27">
    <cfRule type="containsText" dxfId="1488" priority="37" operator="containsText" text="highlight">
      <formula>G27="Fail"</formula>
    </cfRule>
    <cfRule type="containsText" dxfId="1487" priority="38" operator="containsText" text="highlight">
      <formula>G27="Pass"</formula>
    </cfRule>
  </conditionalFormatting>
  <conditionalFormatting sqref="D28">
    <cfRule type="containsText" dxfId="1486" priority="39" operator="containsText" text="highlight">
      <formula>ISBLANK(D28)</formula>
    </cfRule>
  </conditionalFormatting>
  <conditionalFormatting sqref="G28">
    <cfRule type="containsText" dxfId="1485" priority="40" operator="containsText" text="highlight">
      <formula>G28="Fail"</formula>
    </cfRule>
    <cfRule type="containsText" dxfId="1484" priority="41" operator="containsText" text="highlight">
      <formula>G28="Pass"</formula>
    </cfRule>
  </conditionalFormatting>
  <conditionalFormatting sqref="D29">
    <cfRule type="containsText" dxfId="1483" priority="42" operator="containsText" text="highlight">
      <formula>ISBLANK(D29)</formula>
    </cfRule>
  </conditionalFormatting>
  <conditionalFormatting sqref="G29">
    <cfRule type="containsText" dxfId="1482" priority="43" operator="containsText" text="highlight">
      <formula>G29="Fail"</formula>
    </cfRule>
    <cfRule type="containsText" dxfId="1481" priority="44" operator="containsText" text="highlight">
      <formula>G29="Pass"</formula>
    </cfRule>
  </conditionalFormatting>
  <conditionalFormatting sqref="D30">
    <cfRule type="containsText" dxfId="1480" priority="45" operator="containsText" text="highlight">
      <formula>ISBLANK(D30)</formula>
    </cfRule>
  </conditionalFormatting>
  <conditionalFormatting sqref="G30">
    <cfRule type="containsText" dxfId="1479" priority="46" operator="containsText" text="highlight">
      <formula>G30="Fail"</formula>
    </cfRule>
    <cfRule type="containsText" dxfId="1478" priority="47" operator="containsText" text="highlight">
      <formula>G30="Pass"</formula>
    </cfRule>
  </conditionalFormatting>
  <conditionalFormatting sqref="D31">
    <cfRule type="containsText" dxfId="1477" priority="48" operator="containsText" text="highlight">
      <formula>ISBLANK(D31)</formula>
    </cfRule>
  </conditionalFormatting>
  <conditionalFormatting sqref="G31">
    <cfRule type="containsText" dxfId="1476" priority="49" operator="containsText" text="highlight">
      <formula>G31="Fail"</formula>
    </cfRule>
    <cfRule type="containsText" dxfId="1475" priority="50" operator="containsText" text="highlight">
      <formula>G31="Pass"</formula>
    </cfRule>
  </conditionalFormatting>
  <conditionalFormatting sqref="D32">
    <cfRule type="containsText" dxfId="1474" priority="51" operator="containsText" text="highlight">
      <formula>ISBLANK(D32)</formula>
    </cfRule>
  </conditionalFormatting>
  <conditionalFormatting sqref="G32">
    <cfRule type="containsText" dxfId="1473" priority="52" operator="containsText" text="highlight">
      <formula>G32="Fail"</formula>
    </cfRule>
    <cfRule type="containsText" dxfId="1472" priority="53" operator="containsText" text="highlight">
      <formula>G32="Pass"</formula>
    </cfRule>
  </conditionalFormatting>
  <conditionalFormatting sqref="D33">
    <cfRule type="containsText" dxfId="1471" priority="54" operator="containsText" text="highlight">
      <formula>ISBLANK(D33)</formula>
    </cfRule>
  </conditionalFormatting>
  <conditionalFormatting sqref="G33">
    <cfRule type="containsText" dxfId="1470" priority="55" operator="containsText" text="highlight">
      <formula>G33="Fail"</formula>
    </cfRule>
    <cfRule type="containsText" dxfId="1469" priority="56" operator="containsText" text="highlight">
      <formula>G33="Pass"</formula>
    </cfRule>
  </conditionalFormatting>
  <conditionalFormatting sqref="D34">
    <cfRule type="containsText" dxfId="1468" priority="57" operator="containsText" text="highlight">
      <formula>ISBLANK(D34)</formula>
    </cfRule>
  </conditionalFormatting>
  <conditionalFormatting sqref="G34">
    <cfRule type="containsText" dxfId="1467" priority="58" operator="containsText" text="highlight">
      <formula>G34="Fail"</formula>
    </cfRule>
    <cfRule type="containsText" dxfId="1466" priority="59" operator="containsText" text="highlight">
      <formula>G34="Pass"</formula>
    </cfRule>
  </conditionalFormatting>
  <conditionalFormatting sqref="D35">
    <cfRule type="containsText" dxfId="1465" priority="60" operator="containsText" text="highlight">
      <formula>ISBLANK(D35)</formula>
    </cfRule>
  </conditionalFormatting>
  <conditionalFormatting sqref="G35">
    <cfRule type="containsText" dxfId="1464" priority="61" operator="containsText" text="highlight">
      <formula>G35="Fail"</formula>
    </cfRule>
    <cfRule type="containsText" dxfId="1463" priority="62" operator="containsText" text="highlight">
      <formula>G35="Pass"</formula>
    </cfRule>
  </conditionalFormatting>
  <conditionalFormatting sqref="D36">
    <cfRule type="containsText" dxfId="1462" priority="63" operator="containsText" text="highlight">
      <formula>ISBLANK(D36)</formula>
    </cfRule>
  </conditionalFormatting>
  <conditionalFormatting sqref="G36">
    <cfRule type="containsText" dxfId="1461" priority="64" operator="containsText" text="highlight">
      <formula>G36="Fail"</formula>
    </cfRule>
    <cfRule type="containsText" dxfId="1460" priority="65" operator="containsText" text="highlight">
      <formula>G36="Pass"</formula>
    </cfRule>
  </conditionalFormatting>
  <conditionalFormatting sqref="D37">
    <cfRule type="containsText" dxfId="1459" priority="66" operator="containsText" text="highlight">
      <formula>ISBLANK(D37)</formula>
    </cfRule>
  </conditionalFormatting>
  <conditionalFormatting sqref="G37">
    <cfRule type="containsText" dxfId="1458" priority="67" operator="containsText" text="highlight">
      <formula>G37="Fail"</formula>
    </cfRule>
    <cfRule type="containsText" dxfId="1457" priority="68" operator="containsText" text="highlight">
      <formula>G37="Pass"</formula>
    </cfRule>
  </conditionalFormatting>
  <conditionalFormatting sqref="D38">
    <cfRule type="containsText" dxfId="1456" priority="69" operator="containsText" text="highlight">
      <formula>ISBLANK(D38)</formula>
    </cfRule>
  </conditionalFormatting>
  <conditionalFormatting sqref="G38">
    <cfRule type="containsText" dxfId="1455" priority="70" operator="containsText" text="highlight">
      <formula>G38="Fail"</formula>
    </cfRule>
    <cfRule type="containsText" dxfId="1454" priority="71" operator="containsText" text="highlight">
      <formula>G38="Pass"</formula>
    </cfRule>
  </conditionalFormatting>
  <conditionalFormatting sqref="D39">
    <cfRule type="containsText" dxfId="1453" priority="72" operator="containsText" text="highlight">
      <formula>ISBLANK(D39)</formula>
    </cfRule>
  </conditionalFormatting>
  <conditionalFormatting sqref="G39">
    <cfRule type="containsText" dxfId="1452" priority="73" operator="containsText" text="highlight">
      <formula>G39="Fail"</formula>
    </cfRule>
    <cfRule type="containsText" dxfId="1451" priority="74" operator="containsText" text="highlight">
      <formula>G39="Pass"</formula>
    </cfRule>
  </conditionalFormatting>
  <conditionalFormatting sqref="D40">
    <cfRule type="containsText" dxfId="1450" priority="75" operator="containsText" text="highlight">
      <formula>ISBLANK(D40)</formula>
    </cfRule>
  </conditionalFormatting>
  <conditionalFormatting sqref="G40">
    <cfRule type="containsText" dxfId="1449" priority="76" operator="containsText" text="highlight">
      <formula>G40="Fail"</formula>
    </cfRule>
    <cfRule type="containsText" dxfId="1448" priority="77" operator="containsText" text="highlight">
      <formula>G40="Pass"</formula>
    </cfRule>
  </conditionalFormatting>
  <conditionalFormatting sqref="D41">
    <cfRule type="containsText" dxfId="1447" priority="78" operator="containsText" text="highlight">
      <formula>ISBLANK(D41)</formula>
    </cfRule>
  </conditionalFormatting>
  <conditionalFormatting sqref="G41">
    <cfRule type="containsText" dxfId="1446" priority="79" operator="containsText" text="highlight">
      <formula>G41="Fail"</formula>
    </cfRule>
    <cfRule type="containsText" dxfId="1445" priority="80" operator="containsText" text="highlight">
      <formula>G41="Pass"</formula>
    </cfRule>
  </conditionalFormatting>
  <conditionalFormatting sqref="D42">
    <cfRule type="containsText" dxfId="1444" priority="81" operator="containsText" text="highlight">
      <formula>ISBLANK(D42)</formula>
    </cfRule>
  </conditionalFormatting>
  <conditionalFormatting sqref="G42">
    <cfRule type="containsText" dxfId="1443" priority="82" operator="containsText" text="highlight">
      <formula>G42="Fail"</formula>
    </cfRule>
    <cfRule type="containsText" dxfId="1442" priority="83" operator="containsText" text="highlight">
      <formula>G42="Pass"</formula>
    </cfRule>
  </conditionalFormatting>
  <conditionalFormatting sqref="D43">
    <cfRule type="containsText" dxfId="1441" priority="84" operator="containsText" text="highlight">
      <formula>ISBLANK(D43)</formula>
    </cfRule>
  </conditionalFormatting>
  <conditionalFormatting sqref="G43">
    <cfRule type="containsText" dxfId="1440" priority="85" operator="containsText" text="highlight">
      <formula>G43="Fail"</formula>
    </cfRule>
    <cfRule type="containsText" dxfId="1439" priority="86" operator="containsText" text="highlight">
      <formula>G43="Pass"</formula>
    </cfRule>
  </conditionalFormatting>
  <conditionalFormatting sqref="D47">
    <cfRule type="containsText" dxfId="1438" priority="87" operator="containsText" text="highlight">
      <formula>ISBLANK(D47)</formula>
    </cfRule>
  </conditionalFormatting>
  <conditionalFormatting sqref="G47">
    <cfRule type="containsText" dxfId="1437" priority="88" operator="containsText" text="highlight">
      <formula>G47="Fail"</formula>
    </cfRule>
    <cfRule type="containsText" dxfId="1436" priority="89" operator="containsText" text="highlight">
      <formula>G47="Pass"</formula>
    </cfRule>
  </conditionalFormatting>
  <conditionalFormatting sqref="D48">
    <cfRule type="containsText" dxfId="1435" priority="90" operator="containsText" text="highlight">
      <formula>ISBLANK(D48)</formula>
    </cfRule>
  </conditionalFormatting>
  <conditionalFormatting sqref="G48">
    <cfRule type="containsText" dxfId="1434" priority="91" operator="containsText" text="highlight">
      <formula>G48="Fail"</formula>
    </cfRule>
    <cfRule type="containsText" dxfId="1433" priority="92" operator="containsText" text="highlight">
      <formula>G48="Pass"</formula>
    </cfRule>
  </conditionalFormatting>
  <conditionalFormatting sqref="D49">
    <cfRule type="containsText" dxfId="1432" priority="93" operator="containsText" text="highlight">
      <formula>ISBLANK(D49)</formula>
    </cfRule>
  </conditionalFormatting>
  <conditionalFormatting sqref="G49">
    <cfRule type="containsText" dxfId="1431" priority="94" operator="containsText" text="highlight">
      <formula>G49="Fail"</formula>
    </cfRule>
    <cfRule type="containsText" dxfId="1430" priority="95" operator="containsText" text="highlight">
      <formula>G49="Pass"</formula>
    </cfRule>
  </conditionalFormatting>
  <conditionalFormatting sqref="D50">
    <cfRule type="containsText" dxfId="1429" priority="96" operator="containsText" text="highlight">
      <formula>ISBLANK(D50)</formula>
    </cfRule>
  </conditionalFormatting>
  <conditionalFormatting sqref="G50">
    <cfRule type="containsText" dxfId="1428" priority="97" operator="containsText" text="highlight">
      <formula>G50="Fail"</formula>
    </cfRule>
    <cfRule type="containsText" dxfId="1427" priority="98" operator="containsText" text="highlight">
      <formula>G50="Pass"</formula>
    </cfRule>
  </conditionalFormatting>
  <conditionalFormatting sqref="D51">
    <cfRule type="containsText" dxfId="1426" priority="99" operator="containsText" text="highlight">
      <formula>ISBLANK(D51)</formula>
    </cfRule>
  </conditionalFormatting>
  <conditionalFormatting sqref="G51">
    <cfRule type="containsText" dxfId="1425" priority="100" operator="containsText" text="highlight">
      <formula>G51="Fail"</formula>
    </cfRule>
    <cfRule type="containsText" dxfId="1424" priority="101" operator="containsText" text="highlight">
      <formula>G51="Pass"</formula>
    </cfRule>
  </conditionalFormatting>
  <conditionalFormatting sqref="D52">
    <cfRule type="containsText" dxfId="1423" priority="102" operator="containsText" text="highlight">
      <formula>ISBLANK(D52)</formula>
    </cfRule>
  </conditionalFormatting>
  <conditionalFormatting sqref="G52">
    <cfRule type="containsText" dxfId="1422" priority="103" operator="containsText" text="highlight">
      <formula>G52="Fail"</formula>
    </cfRule>
    <cfRule type="containsText" dxfId="1421" priority="104" operator="containsText" text="highlight">
      <formula>G52="Pass"</formula>
    </cfRule>
  </conditionalFormatting>
  <conditionalFormatting sqref="D53">
    <cfRule type="containsText" dxfId="1420" priority="105" operator="containsText" text="highlight">
      <formula>ISBLANK(D53)</formula>
    </cfRule>
  </conditionalFormatting>
  <conditionalFormatting sqref="G53">
    <cfRule type="containsText" dxfId="1419" priority="106" operator="containsText" text="highlight">
      <formula>G53="Fail"</formula>
    </cfRule>
    <cfRule type="containsText" dxfId="1418" priority="107" operator="containsText" text="highlight">
      <formula>G53="Pass"</formula>
    </cfRule>
  </conditionalFormatting>
  <conditionalFormatting sqref="D54">
    <cfRule type="containsText" dxfId="1417" priority="108" operator="containsText" text="highlight">
      <formula>ISBLANK(D54)</formula>
    </cfRule>
  </conditionalFormatting>
  <conditionalFormatting sqref="G54">
    <cfRule type="containsText" dxfId="1416" priority="109" operator="containsText" text="highlight">
      <formula>G54="Fail"</formula>
    </cfRule>
    <cfRule type="containsText" dxfId="1415" priority="110" operator="containsText" text="highlight">
      <formula>G54="Pass"</formula>
    </cfRule>
  </conditionalFormatting>
  <conditionalFormatting sqref="D55">
    <cfRule type="containsText" dxfId="1414" priority="111" operator="containsText" text="highlight">
      <formula>ISBLANK(D55)</formula>
    </cfRule>
  </conditionalFormatting>
  <conditionalFormatting sqref="G55">
    <cfRule type="containsText" dxfId="1413" priority="112" operator="containsText" text="highlight">
      <formula>G55="Fail"</formula>
    </cfRule>
    <cfRule type="containsText" dxfId="1412" priority="113" operator="containsText" text="highlight">
      <formula>G55="Pass"</formula>
    </cfRule>
  </conditionalFormatting>
  <conditionalFormatting sqref="D56">
    <cfRule type="containsText" dxfId="1411" priority="114" operator="containsText" text="highlight">
      <formula>ISBLANK(D56)</formula>
    </cfRule>
  </conditionalFormatting>
  <conditionalFormatting sqref="G56">
    <cfRule type="containsText" dxfId="1410" priority="115" operator="containsText" text="highlight">
      <formula>G56="Fail"</formula>
    </cfRule>
    <cfRule type="containsText" dxfId="1409" priority="116" operator="containsText" text="highlight">
      <formula>G56="Pass"</formula>
    </cfRule>
  </conditionalFormatting>
  <conditionalFormatting sqref="D57">
    <cfRule type="containsText" dxfId="1408" priority="117" operator="containsText" text="highlight">
      <formula>ISBLANK(D57)</formula>
    </cfRule>
  </conditionalFormatting>
  <conditionalFormatting sqref="G57">
    <cfRule type="containsText" dxfId="1407" priority="118" operator="containsText" text="highlight">
      <formula>G57="Fail"</formula>
    </cfRule>
    <cfRule type="containsText" dxfId="1406" priority="119" operator="containsText" text="highlight">
      <formula>G57="Pass"</formula>
    </cfRule>
  </conditionalFormatting>
  <conditionalFormatting sqref="D58">
    <cfRule type="containsText" dxfId="1405" priority="120" operator="containsText" text="highlight">
      <formula>ISBLANK(D58)</formula>
    </cfRule>
  </conditionalFormatting>
  <conditionalFormatting sqref="G58">
    <cfRule type="containsText" dxfId="1404" priority="121" operator="containsText" text="highlight">
      <formula>G58="Fail"</formula>
    </cfRule>
    <cfRule type="containsText" dxfId="1403" priority="122" operator="containsText" text="highlight">
      <formula>G58="Pass"</formula>
    </cfRule>
  </conditionalFormatting>
  <conditionalFormatting sqref="D59">
    <cfRule type="containsText" dxfId="1402" priority="123" operator="containsText" text="highlight">
      <formula>ISBLANK(D59)</formula>
    </cfRule>
  </conditionalFormatting>
  <conditionalFormatting sqref="G59">
    <cfRule type="containsText" dxfId="1401" priority="124" operator="containsText" text="highlight">
      <formula>G59="Fail"</formula>
    </cfRule>
    <cfRule type="containsText" dxfId="1400" priority="125" operator="containsText" text="highlight">
      <formula>G59="Pass"</formula>
    </cfRule>
  </conditionalFormatting>
  <conditionalFormatting sqref="D60">
    <cfRule type="containsText" dxfId="1399" priority="126" operator="containsText" text="highlight">
      <formula>ISBLANK(D60)</formula>
    </cfRule>
  </conditionalFormatting>
  <conditionalFormatting sqref="G60">
    <cfRule type="containsText" dxfId="1398" priority="127" operator="containsText" text="highlight">
      <formula>G60="Fail"</formula>
    </cfRule>
    <cfRule type="containsText" dxfId="1397" priority="128" operator="containsText" text="highlight">
      <formula>G60="Pass"</formula>
    </cfRule>
  </conditionalFormatting>
  <conditionalFormatting sqref="D61">
    <cfRule type="containsText" dxfId="1396" priority="129" operator="containsText" text="highlight">
      <formula>ISBLANK(D61)</formula>
    </cfRule>
  </conditionalFormatting>
  <conditionalFormatting sqref="G61">
    <cfRule type="containsText" dxfId="1395" priority="130" operator="containsText" text="highlight">
      <formula>G61="Fail"</formula>
    </cfRule>
    <cfRule type="containsText" dxfId="1394" priority="131" operator="containsText" text="highlight">
      <formula>G61="Pass"</formula>
    </cfRule>
  </conditionalFormatting>
  <conditionalFormatting sqref="D62">
    <cfRule type="containsText" dxfId="1393" priority="132" operator="containsText" text="highlight">
      <formula>ISBLANK(D62)</formula>
    </cfRule>
  </conditionalFormatting>
  <conditionalFormatting sqref="G62">
    <cfRule type="containsText" dxfId="1392" priority="133" operator="containsText" text="highlight">
      <formula>G62="Fail"</formula>
    </cfRule>
    <cfRule type="containsText" dxfId="1391" priority="134" operator="containsText" text="highlight">
      <formula>G62="Pass"</formula>
    </cfRule>
  </conditionalFormatting>
  <conditionalFormatting sqref="D63">
    <cfRule type="containsText" dxfId="1390" priority="135" operator="containsText" text="highlight">
      <formula>ISBLANK(D63)</formula>
    </cfRule>
  </conditionalFormatting>
  <conditionalFormatting sqref="G63">
    <cfRule type="containsText" dxfId="1389" priority="136" operator="containsText" text="highlight">
      <formula>G63="Fail"</formula>
    </cfRule>
    <cfRule type="containsText" dxfId="1388" priority="137" operator="containsText" text="highlight">
      <formula>G63="Pass"</formula>
    </cfRule>
  </conditionalFormatting>
  <conditionalFormatting sqref="D64">
    <cfRule type="containsText" dxfId="1387" priority="138" operator="containsText" text="highlight">
      <formula>ISBLANK(D64)</formula>
    </cfRule>
  </conditionalFormatting>
  <conditionalFormatting sqref="G64">
    <cfRule type="containsText" dxfId="1386" priority="139" operator="containsText" text="highlight">
      <formula>G64="Fail"</formula>
    </cfRule>
    <cfRule type="containsText" dxfId="1385" priority="140" operator="containsText" text="highlight">
      <formula>G64="Pass"</formula>
    </cfRule>
  </conditionalFormatting>
  <conditionalFormatting sqref="D65">
    <cfRule type="containsText" dxfId="1384" priority="141" operator="containsText" text="highlight">
      <formula>ISBLANK(D65)</formula>
    </cfRule>
  </conditionalFormatting>
  <conditionalFormatting sqref="G65">
    <cfRule type="containsText" dxfId="1383" priority="142" operator="containsText" text="highlight">
      <formula>G65="Fail"</formula>
    </cfRule>
    <cfRule type="containsText" dxfId="1382" priority="143" operator="containsText" text="highlight">
      <formula>G65="Pass"</formula>
    </cfRule>
  </conditionalFormatting>
  <conditionalFormatting sqref="D66">
    <cfRule type="containsText" dxfId="1381" priority="144" operator="containsText" text="highlight">
      <formula>ISBLANK(D66)</formula>
    </cfRule>
  </conditionalFormatting>
  <conditionalFormatting sqref="G66">
    <cfRule type="containsText" dxfId="1380" priority="145" operator="containsText" text="highlight">
      <formula>G66="Fail"</formula>
    </cfRule>
    <cfRule type="containsText" dxfId="1379" priority="146" operator="containsText" text="highlight">
      <formula>G66="Pass"</formula>
    </cfRule>
  </conditionalFormatting>
  <conditionalFormatting sqref="D67">
    <cfRule type="containsText" dxfId="1378" priority="147" operator="containsText" text="highlight">
      <formula>ISBLANK(D67)</formula>
    </cfRule>
  </conditionalFormatting>
  <conditionalFormatting sqref="G67">
    <cfRule type="containsText" dxfId="1377" priority="148" operator="containsText" text="highlight">
      <formula>G67="Fail"</formula>
    </cfRule>
    <cfRule type="containsText" dxfId="1376" priority="149" operator="containsText" text="highlight">
      <formula>G67="Pass"</formula>
    </cfRule>
  </conditionalFormatting>
  <conditionalFormatting sqref="D68">
    <cfRule type="containsText" dxfId="1375" priority="150" operator="containsText" text="highlight">
      <formula>ISBLANK(D68)</formula>
    </cfRule>
  </conditionalFormatting>
  <conditionalFormatting sqref="G68">
    <cfRule type="containsText" dxfId="1374" priority="151" operator="containsText" text="highlight">
      <formula>G68="Fail"</formula>
    </cfRule>
    <cfRule type="containsText" dxfId="1373" priority="152" operator="containsText" text="highlight">
      <formula>G68="Pass"</formula>
    </cfRule>
  </conditionalFormatting>
  <conditionalFormatting sqref="D69">
    <cfRule type="containsText" dxfId="1372" priority="153" operator="containsText" text="highlight">
      <formula>ISBLANK(D69)</formula>
    </cfRule>
  </conditionalFormatting>
  <conditionalFormatting sqref="G69">
    <cfRule type="containsText" dxfId="1371" priority="154" operator="containsText" text="highlight">
      <formula>G69="Fail"</formula>
    </cfRule>
    <cfRule type="containsText" dxfId="1370" priority="155" operator="containsText" text="highlight">
      <formula>G69="Pass"</formula>
    </cfRule>
  </conditionalFormatting>
  <conditionalFormatting sqref="D70">
    <cfRule type="containsText" dxfId="1369" priority="156" operator="containsText" text="highlight">
      <formula>ISBLANK(D70)</formula>
    </cfRule>
  </conditionalFormatting>
  <conditionalFormatting sqref="G70">
    <cfRule type="containsText" dxfId="1368" priority="157" operator="containsText" text="highlight">
      <formula>G70="Fail"</formula>
    </cfRule>
    <cfRule type="containsText" dxfId="1367" priority="158" operator="containsText" text="highlight">
      <formula>G70="Pass"</formula>
    </cfRule>
  </conditionalFormatting>
  <conditionalFormatting sqref="D71">
    <cfRule type="containsText" dxfId="1366" priority="159" operator="containsText" text="highlight">
      <formula>ISBLANK(D71)</formula>
    </cfRule>
  </conditionalFormatting>
  <conditionalFormatting sqref="G71">
    <cfRule type="containsText" dxfId="1365" priority="160" operator="containsText" text="highlight">
      <formula>G71="Fail"</formula>
    </cfRule>
    <cfRule type="containsText" dxfId="1364" priority="161" operator="containsText" text="highlight">
      <formula>G71="Pass"</formula>
    </cfRule>
  </conditionalFormatting>
  <conditionalFormatting sqref="D72">
    <cfRule type="containsText" dxfId="1363" priority="162" operator="containsText" text="highlight">
      <formula>ISBLANK(D72)</formula>
    </cfRule>
  </conditionalFormatting>
  <conditionalFormatting sqref="G72">
    <cfRule type="containsText" dxfId="1362" priority="163" operator="containsText" text="highlight">
      <formula>G72="Fail"</formula>
    </cfRule>
    <cfRule type="containsText" dxfId="1361" priority="164" operator="containsText" text="highlight">
      <formula>G72="Pass"</formula>
    </cfRule>
  </conditionalFormatting>
  <conditionalFormatting sqref="D73">
    <cfRule type="containsText" dxfId="1360" priority="165" operator="containsText" text="highlight">
      <formula>ISBLANK(D73)</formula>
    </cfRule>
  </conditionalFormatting>
  <conditionalFormatting sqref="G73">
    <cfRule type="containsText" dxfId="1359" priority="166" operator="containsText" text="highlight">
      <formula>G73="Fail"</formula>
    </cfRule>
    <cfRule type="containsText" dxfId="1358" priority="167" operator="containsText" text="highlight">
      <formula>G73="Pass"</formula>
    </cfRule>
  </conditionalFormatting>
  <conditionalFormatting sqref="D74">
    <cfRule type="containsText" dxfId="1357" priority="168" operator="containsText" text="highlight">
      <formula>ISBLANK(D74)</formula>
    </cfRule>
  </conditionalFormatting>
  <conditionalFormatting sqref="G74">
    <cfRule type="containsText" dxfId="1356" priority="169" operator="containsText" text="highlight">
      <formula>G74="Fail"</formula>
    </cfRule>
    <cfRule type="containsText" dxfId="1355" priority="170" operator="containsText" text="highlight">
      <formula>G74="Pass"</formula>
    </cfRule>
  </conditionalFormatting>
  <conditionalFormatting sqref="D75">
    <cfRule type="containsText" dxfId="1354" priority="171" operator="containsText" text="highlight">
      <formula>ISBLANK(D75)</formula>
    </cfRule>
  </conditionalFormatting>
  <conditionalFormatting sqref="G75">
    <cfRule type="containsText" dxfId="1353" priority="172" operator="containsText" text="highlight">
      <formula>G75="Fail"</formula>
    </cfRule>
    <cfRule type="containsText" dxfId="1352" priority="173" operator="containsText" text="highlight">
      <formula>G75="Pass"</formula>
    </cfRule>
  </conditionalFormatting>
  <conditionalFormatting sqref="D76">
    <cfRule type="containsText" dxfId="1351" priority="174" operator="containsText" text="highlight">
      <formula>ISBLANK(D76)</formula>
    </cfRule>
  </conditionalFormatting>
  <conditionalFormatting sqref="G76">
    <cfRule type="containsText" dxfId="1350" priority="175" operator="containsText" text="highlight">
      <formula>G76="Fail"</formula>
    </cfRule>
    <cfRule type="containsText" dxfId="1349" priority="176" operator="containsText" text="highlight">
      <formula>G76="Pass"</formula>
    </cfRule>
  </conditionalFormatting>
  <conditionalFormatting sqref="D77">
    <cfRule type="containsText" dxfId="1348" priority="177" operator="containsText" text="highlight">
      <formula>ISBLANK(D77)</formula>
    </cfRule>
  </conditionalFormatting>
  <conditionalFormatting sqref="G77">
    <cfRule type="containsText" dxfId="1347" priority="178" operator="containsText" text="highlight">
      <formula>G77="Fail"</formula>
    </cfRule>
    <cfRule type="containsText" dxfId="1346" priority="179" operator="containsText" text="highlight">
      <formula>G77="Pass"</formula>
    </cfRule>
  </conditionalFormatting>
  <conditionalFormatting sqref="D78">
    <cfRule type="containsText" dxfId="1345" priority="180" operator="containsText" text="highlight">
      <formula>ISBLANK(D78)</formula>
    </cfRule>
  </conditionalFormatting>
  <conditionalFormatting sqref="G78">
    <cfRule type="containsText" dxfId="1344" priority="181" operator="containsText" text="highlight">
      <formula>G78="Fail"</formula>
    </cfRule>
    <cfRule type="containsText" dxfId="1343" priority="182" operator="containsText" text="highlight">
      <formula>G78="Pass"</formula>
    </cfRule>
  </conditionalFormatting>
  <conditionalFormatting sqref="D79">
    <cfRule type="containsText" dxfId="1342" priority="183" operator="containsText" text="highlight">
      <formula>ISBLANK(D79)</formula>
    </cfRule>
  </conditionalFormatting>
  <conditionalFormatting sqref="G79">
    <cfRule type="containsText" dxfId="1341" priority="184" operator="containsText" text="highlight">
      <formula>G79="Fail"</formula>
    </cfRule>
    <cfRule type="containsText" dxfId="1340" priority="185" operator="containsText" text="highlight">
      <formula>G79="Pass"</formula>
    </cfRule>
  </conditionalFormatting>
  <conditionalFormatting sqref="D80">
    <cfRule type="containsText" dxfId="1339" priority="186" operator="containsText" text="highlight">
      <formula>ISBLANK(D80)</formula>
    </cfRule>
  </conditionalFormatting>
  <conditionalFormatting sqref="G80">
    <cfRule type="containsText" dxfId="1338" priority="187" operator="containsText" text="highlight">
      <formula>G80="Fail"</formula>
    </cfRule>
    <cfRule type="containsText" dxfId="1337" priority="188" operator="containsText" text="highlight">
      <formula>G80="Pass"</formula>
    </cfRule>
  </conditionalFormatting>
  <conditionalFormatting sqref="D81">
    <cfRule type="containsText" dxfId="1336" priority="189" operator="containsText" text="highlight">
      <formula>ISBLANK(D81)</formula>
    </cfRule>
  </conditionalFormatting>
  <conditionalFormatting sqref="G81">
    <cfRule type="containsText" dxfId="1335" priority="190" operator="containsText" text="highlight">
      <formula>G81="Fail"</formula>
    </cfRule>
    <cfRule type="containsText" dxfId="1334" priority="191" operator="containsText" text="highlight">
      <formula>G81="Pass"</formula>
    </cfRule>
  </conditionalFormatting>
  <conditionalFormatting sqref="D82">
    <cfRule type="containsText" dxfId="1333" priority="192" operator="containsText" text="highlight">
      <formula>ISBLANK(D82)</formula>
    </cfRule>
  </conditionalFormatting>
  <conditionalFormatting sqref="G82">
    <cfRule type="containsText" dxfId="1332" priority="193" operator="containsText" text="highlight">
      <formula>G82="Fail"</formula>
    </cfRule>
    <cfRule type="containsText" dxfId="1331" priority="194" operator="containsText" text="highlight">
      <formula>G82="Pass"</formula>
    </cfRule>
  </conditionalFormatting>
  <conditionalFormatting sqref="D83">
    <cfRule type="containsText" dxfId="1330" priority="195" operator="containsText" text="highlight">
      <formula>ISBLANK(D83)</formula>
    </cfRule>
  </conditionalFormatting>
  <conditionalFormatting sqref="G83">
    <cfRule type="containsText" dxfId="1329" priority="196" operator="containsText" text="highlight">
      <formula>G83="Fail"</formula>
    </cfRule>
    <cfRule type="containsText" dxfId="1328" priority="197" operator="containsText" text="highlight">
      <formula>G83="Pass"</formula>
    </cfRule>
  </conditionalFormatting>
  <conditionalFormatting sqref="D84">
    <cfRule type="containsText" dxfId="1327" priority="198" operator="containsText" text="highlight">
      <formula>ISBLANK(D84)</formula>
    </cfRule>
  </conditionalFormatting>
  <conditionalFormatting sqref="G84">
    <cfRule type="containsText" dxfId="1326" priority="199" operator="containsText" text="highlight">
      <formula>G84="Fail"</formula>
    </cfRule>
    <cfRule type="containsText" dxfId="1325" priority="200" operator="containsText" text="highlight">
      <formula>G84="Pass"</formula>
    </cfRule>
  </conditionalFormatting>
  <conditionalFormatting sqref="D85">
    <cfRule type="containsText" dxfId="1324" priority="201" operator="containsText" text="highlight">
      <formula>ISBLANK(D85)</formula>
    </cfRule>
  </conditionalFormatting>
  <conditionalFormatting sqref="G85">
    <cfRule type="containsText" dxfId="1323" priority="202" operator="containsText" text="highlight">
      <formula>G85="Fail"</formula>
    </cfRule>
    <cfRule type="containsText" dxfId="1322" priority="203" operator="containsText" text="highlight">
      <formula>G85="Pass"</formula>
    </cfRule>
  </conditionalFormatting>
  <conditionalFormatting sqref="D86">
    <cfRule type="containsText" dxfId="1321" priority="204" operator="containsText" text="highlight">
      <formula>ISBLANK(D86)</formula>
    </cfRule>
  </conditionalFormatting>
  <conditionalFormatting sqref="G86">
    <cfRule type="containsText" dxfId="1320" priority="205" operator="containsText" text="highlight">
      <formula>G86="Fail"</formula>
    </cfRule>
    <cfRule type="containsText" dxfId="1319" priority="206" operator="containsText" text="highlight">
      <formula>G86="Pass"</formula>
    </cfRule>
  </conditionalFormatting>
  <conditionalFormatting sqref="D87">
    <cfRule type="containsText" dxfId="1318" priority="207" operator="containsText" text="highlight">
      <formula>ISBLANK(D87)</formula>
    </cfRule>
  </conditionalFormatting>
  <conditionalFormatting sqref="G87">
    <cfRule type="containsText" dxfId="1317" priority="208" operator="containsText" text="highlight">
      <formula>G87="Fail"</formula>
    </cfRule>
    <cfRule type="containsText" dxfId="1316" priority="209" operator="containsText" text="highlight">
      <formula>G87="Pass"</formula>
    </cfRule>
  </conditionalFormatting>
  <conditionalFormatting sqref="D88">
    <cfRule type="containsText" dxfId="1315" priority="210" operator="containsText" text="highlight">
      <formula>ISBLANK(D88)</formula>
    </cfRule>
  </conditionalFormatting>
  <conditionalFormatting sqref="G88">
    <cfRule type="containsText" dxfId="1314" priority="211" operator="containsText" text="highlight">
      <formula>G88="Fail"</formula>
    </cfRule>
    <cfRule type="containsText" dxfId="1313" priority="212" operator="containsText" text="highlight">
      <formula>G88="Pass"</formula>
    </cfRule>
  </conditionalFormatting>
  <conditionalFormatting sqref="D89">
    <cfRule type="containsText" dxfId="1312" priority="213" operator="containsText" text="highlight">
      <formula>ISBLANK(D89)</formula>
    </cfRule>
  </conditionalFormatting>
  <conditionalFormatting sqref="G89">
    <cfRule type="containsText" dxfId="1311" priority="214" operator="containsText" text="highlight">
      <formula>G89="Fail"</formula>
    </cfRule>
    <cfRule type="containsText" dxfId="1310" priority="215" operator="containsText" text="highlight">
      <formula>G89="Pass"</formula>
    </cfRule>
  </conditionalFormatting>
  <conditionalFormatting sqref="D90">
    <cfRule type="containsText" dxfId="1309" priority="216" operator="containsText" text="highlight">
      <formula>ISBLANK(D90)</formula>
    </cfRule>
  </conditionalFormatting>
  <conditionalFormatting sqref="G90">
    <cfRule type="containsText" dxfId="1308" priority="217" operator="containsText" text="highlight">
      <formula>G90="Fail"</formula>
    </cfRule>
    <cfRule type="containsText" dxfId="1307" priority="218" operator="containsText" text="highlight">
      <formula>G90="Pass"</formula>
    </cfRule>
  </conditionalFormatting>
  <conditionalFormatting sqref="D91">
    <cfRule type="containsText" dxfId="1306" priority="219" operator="containsText" text="highlight">
      <formula>ISBLANK(D91)</formula>
    </cfRule>
  </conditionalFormatting>
  <conditionalFormatting sqref="G91">
    <cfRule type="containsText" dxfId="1305" priority="220" operator="containsText" text="highlight">
      <formula>G91="Fail"</formula>
    </cfRule>
    <cfRule type="containsText" dxfId="1304" priority="221" operator="containsText" text="highlight">
      <formula>G91="Pass"</formula>
    </cfRule>
  </conditionalFormatting>
  <conditionalFormatting sqref="D92">
    <cfRule type="containsText" dxfId="1303" priority="222" operator="containsText" text="highlight">
      <formula>ISBLANK(D92)</formula>
    </cfRule>
  </conditionalFormatting>
  <conditionalFormatting sqref="G92">
    <cfRule type="containsText" dxfId="1302" priority="223" operator="containsText" text="highlight">
      <formula>G92="Fail"</formula>
    </cfRule>
    <cfRule type="containsText" dxfId="1301" priority="224" operator="containsText" text="highlight">
      <formula>G92="Pass"</formula>
    </cfRule>
  </conditionalFormatting>
  <conditionalFormatting sqref="D93">
    <cfRule type="containsText" dxfId="1300" priority="225" operator="containsText" text="highlight">
      <formula>ISBLANK(D93)</formula>
    </cfRule>
  </conditionalFormatting>
  <conditionalFormatting sqref="G93">
    <cfRule type="containsText" dxfId="1299" priority="226" operator="containsText" text="highlight">
      <formula>G93="Fail"</formula>
    </cfRule>
    <cfRule type="containsText" dxfId="1298" priority="227" operator="containsText" text="highlight">
      <formula>G93="Pass"</formula>
    </cfRule>
  </conditionalFormatting>
  <conditionalFormatting sqref="D94">
    <cfRule type="containsText" dxfId="1297" priority="228" operator="containsText" text="highlight">
      <formula>ISBLANK(D94)</formula>
    </cfRule>
  </conditionalFormatting>
  <conditionalFormatting sqref="G94">
    <cfRule type="containsText" dxfId="1296" priority="229" operator="containsText" text="highlight">
      <formula>G94="Fail"</formula>
    </cfRule>
    <cfRule type="containsText" dxfId="1295" priority="230" operator="containsText" text="highlight">
      <formula>G94="Pass"</formula>
    </cfRule>
  </conditionalFormatting>
  <conditionalFormatting sqref="D95">
    <cfRule type="containsText" dxfId="1294" priority="231" operator="containsText" text="highlight">
      <formula>ISBLANK(D95)</formula>
    </cfRule>
  </conditionalFormatting>
  <conditionalFormatting sqref="G95">
    <cfRule type="containsText" dxfId="1293" priority="232" operator="containsText" text="highlight">
      <formula>G95="Fail"</formula>
    </cfRule>
    <cfRule type="containsText" dxfId="1292" priority="233" operator="containsText" text="highlight">
      <formula>G95="Pass"</formula>
    </cfRule>
  </conditionalFormatting>
  <conditionalFormatting sqref="D96">
    <cfRule type="containsText" dxfId="1291" priority="234" operator="containsText" text="highlight">
      <formula>ISBLANK(D96)</formula>
    </cfRule>
  </conditionalFormatting>
  <conditionalFormatting sqref="G96">
    <cfRule type="containsText" dxfId="1290" priority="235" operator="containsText" text="highlight">
      <formula>G96="Fail"</formula>
    </cfRule>
    <cfRule type="containsText" dxfId="1289" priority="236" operator="containsText" text="highlight">
      <formula>G96="Pass"</formula>
    </cfRule>
  </conditionalFormatting>
  <conditionalFormatting sqref="D97">
    <cfRule type="containsText" dxfId="1288" priority="237" operator="containsText" text="highlight">
      <formula>ISBLANK(D97)</formula>
    </cfRule>
  </conditionalFormatting>
  <conditionalFormatting sqref="G97">
    <cfRule type="containsText" dxfId="1287" priority="238" operator="containsText" text="highlight">
      <formula>G97="Fail"</formula>
    </cfRule>
    <cfRule type="containsText" dxfId="1286" priority="239" operator="containsText" text="highlight">
      <formula>G97="Pass"</formula>
    </cfRule>
  </conditionalFormatting>
  <conditionalFormatting sqref="D98">
    <cfRule type="containsText" dxfId="1285" priority="240" operator="containsText" text="highlight">
      <formula>ISBLANK(D98)</formula>
    </cfRule>
  </conditionalFormatting>
  <conditionalFormatting sqref="G98">
    <cfRule type="containsText" dxfId="1284" priority="241" operator="containsText" text="highlight">
      <formula>G98="Fail"</formula>
    </cfRule>
    <cfRule type="containsText" dxfId="1283" priority="242" operator="containsText" text="highlight">
      <formula>G98="Pass"</formula>
    </cfRule>
  </conditionalFormatting>
  <conditionalFormatting sqref="D99">
    <cfRule type="containsText" dxfId="1282" priority="243" operator="containsText" text="highlight">
      <formula>ISBLANK(D99)</formula>
    </cfRule>
  </conditionalFormatting>
  <conditionalFormatting sqref="G99">
    <cfRule type="containsText" dxfId="1281" priority="244" operator="containsText" text="highlight">
      <formula>G99="Fail"</formula>
    </cfRule>
    <cfRule type="containsText" dxfId="1280" priority="245" operator="containsText" text="highlight">
      <formula>G99="Pass"</formula>
    </cfRule>
  </conditionalFormatting>
  <conditionalFormatting sqref="D100">
    <cfRule type="containsText" dxfId="1279" priority="246" operator="containsText" text="highlight">
      <formula>ISBLANK(D100)</formula>
    </cfRule>
  </conditionalFormatting>
  <conditionalFormatting sqref="G100">
    <cfRule type="containsText" dxfId="1278" priority="247" operator="containsText" text="highlight">
      <formula>G100="Fail"</formula>
    </cfRule>
    <cfRule type="containsText" dxfId="1277" priority="248" operator="containsText" text="highlight">
      <formula>G100="Pass"</formula>
    </cfRule>
  </conditionalFormatting>
  <conditionalFormatting sqref="D101">
    <cfRule type="containsText" dxfId="1276" priority="249" operator="containsText" text="highlight">
      <formula>ISBLANK(D101)</formula>
    </cfRule>
  </conditionalFormatting>
  <conditionalFormatting sqref="G101">
    <cfRule type="containsText" dxfId="1275" priority="250" operator="containsText" text="highlight">
      <formula>G101="Fail"</formula>
    </cfRule>
    <cfRule type="containsText" dxfId="1274" priority="251" operator="containsText" text="highlight">
      <formula>G101="Pass"</formula>
    </cfRule>
  </conditionalFormatting>
  <conditionalFormatting sqref="D102">
    <cfRule type="containsText" dxfId="1273" priority="252" operator="containsText" text="highlight">
      <formula>ISBLANK(D102)</formula>
    </cfRule>
  </conditionalFormatting>
  <conditionalFormatting sqref="G102">
    <cfRule type="containsText" dxfId="1272" priority="253" operator="containsText" text="highlight">
      <formula>G102="Fail"</formula>
    </cfRule>
    <cfRule type="containsText" dxfId="1271" priority="254" operator="containsText" text="highlight">
      <formula>G102="Pass"</formula>
    </cfRule>
  </conditionalFormatting>
  <conditionalFormatting sqref="D103">
    <cfRule type="containsText" dxfId="1270" priority="255" operator="containsText" text="highlight">
      <formula>ISBLANK(D103)</formula>
    </cfRule>
  </conditionalFormatting>
  <conditionalFormatting sqref="G103">
    <cfRule type="containsText" dxfId="1269" priority="256" operator="containsText" text="highlight">
      <formula>G103="Fail"</formula>
    </cfRule>
    <cfRule type="containsText" dxfId="1268" priority="257" operator="containsText" text="highlight">
      <formula>G103="Pass"</formula>
    </cfRule>
  </conditionalFormatting>
  <conditionalFormatting sqref="D104">
    <cfRule type="containsText" dxfId="1267" priority="258" operator="containsText" text="highlight">
      <formula>ISBLANK(D104)</formula>
    </cfRule>
  </conditionalFormatting>
  <conditionalFormatting sqref="G104">
    <cfRule type="containsText" dxfId="1266" priority="259" operator="containsText" text="highlight">
      <formula>G104="Fail"</formula>
    </cfRule>
    <cfRule type="containsText" dxfId="1265" priority="260" operator="containsText" text="highlight">
      <formula>G104="Pass"</formula>
    </cfRule>
  </conditionalFormatting>
  <conditionalFormatting sqref="D105">
    <cfRule type="containsText" dxfId="1264" priority="261" operator="containsText" text="highlight">
      <formula>ISBLANK(D105)</formula>
    </cfRule>
  </conditionalFormatting>
  <conditionalFormatting sqref="G105">
    <cfRule type="containsText" dxfId="1263" priority="262" operator="containsText" text="highlight">
      <formula>G105="Fail"</formula>
    </cfRule>
    <cfRule type="containsText" dxfId="1262" priority="263" operator="containsText" text="highlight">
      <formula>G105="Pass"</formula>
    </cfRule>
  </conditionalFormatting>
  <conditionalFormatting sqref="D106">
    <cfRule type="containsText" dxfId="1261" priority="264" operator="containsText" text="highlight">
      <formula>ISBLANK(D106)</formula>
    </cfRule>
  </conditionalFormatting>
  <conditionalFormatting sqref="G106">
    <cfRule type="containsText" dxfId="1260" priority="265" operator="containsText" text="highlight">
      <formula>G106="Fail"</formula>
    </cfRule>
    <cfRule type="containsText" dxfId="1259" priority="266" operator="containsText" text="highlight">
      <formula>G106="Pass"</formula>
    </cfRule>
  </conditionalFormatting>
  <conditionalFormatting sqref="D107">
    <cfRule type="containsText" dxfId="1258" priority="267" operator="containsText" text="highlight">
      <formula>ISBLANK(D107)</formula>
    </cfRule>
  </conditionalFormatting>
  <conditionalFormatting sqref="G107">
    <cfRule type="containsText" dxfId="1257" priority="268" operator="containsText" text="highlight">
      <formula>G107="Fail"</formula>
    </cfRule>
    <cfRule type="containsText" dxfId="1256" priority="269" operator="containsText" text="highlight">
      <formula>G107="Pass"</formula>
    </cfRule>
  </conditionalFormatting>
  <conditionalFormatting sqref="D108">
    <cfRule type="containsText" dxfId="1255" priority="270" operator="containsText" text="highlight">
      <formula>ISBLANK(D108)</formula>
    </cfRule>
  </conditionalFormatting>
  <conditionalFormatting sqref="G108">
    <cfRule type="containsText" dxfId="1254" priority="271" operator="containsText" text="highlight">
      <formula>G108="Fail"</formula>
    </cfRule>
    <cfRule type="containsText" dxfId="1253" priority="272" operator="containsText" text="highlight">
      <formula>G108="Pass"</formula>
    </cfRule>
  </conditionalFormatting>
  <conditionalFormatting sqref="D109">
    <cfRule type="containsText" dxfId="1252" priority="273" operator="containsText" text="highlight">
      <formula>ISBLANK(D109)</formula>
    </cfRule>
  </conditionalFormatting>
  <conditionalFormatting sqref="G109">
    <cfRule type="containsText" dxfId="1251" priority="274" operator="containsText" text="highlight">
      <formula>G109="Fail"</formula>
    </cfRule>
    <cfRule type="containsText" dxfId="1250" priority="275" operator="containsText" text="highlight">
      <formula>G109="Pass"</formula>
    </cfRule>
  </conditionalFormatting>
  <conditionalFormatting sqref="D110">
    <cfRule type="containsText" dxfId="1249" priority="276" operator="containsText" text="highlight">
      <formula>ISBLANK(D110)</formula>
    </cfRule>
  </conditionalFormatting>
  <conditionalFormatting sqref="G110">
    <cfRule type="containsText" dxfId="1248" priority="277" operator="containsText" text="highlight">
      <formula>G110="Fail"</formula>
    </cfRule>
    <cfRule type="containsText" dxfId="1247" priority="278" operator="containsText" text="highlight">
      <formula>G110="Pass"</formula>
    </cfRule>
  </conditionalFormatting>
  <conditionalFormatting sqref="D111">
    <cfRule type="containsText" dxfId="1246" priority="279" operator="containsText" text="highlight">
      <formula>ISBLANK(D111)</formula>
    </cfRule>
  </conditionalFormatting>
  <conditionalFormatting sqref="G111">
    <cfRule type="containsText" dxfId="1245" priority="280" operator="containsText" text="highlight">
      <formula>G111="Fail"</formula>
    </cfRule>
    <cfRule type="containsText" dxfId="1244" priority="281" operator="containsText" text="highlight">
      <formula>G111="Pass"</formula>
    </cfRule>
  </conditionalFormatting>
  <conditionalFormatting sqref="D112">
    <cfRule type="containsText" dxfId="1243" priority="282" operator="containsText" text="highlight">
      <formula>ISBLANK(D112)</formula>
    </cfRule>
  </conditionalFormatting>
  <conditionalFormatting sqref="G112">
    <cfRule type="containsText" dxfId="1242" priority="283" operator="containsText" text="highlight">
      <formula>G112="Fail"</formula>
    </cfRule>
    <cfRule type="containsText" dxfId="1241" priority="284" operator="containsText" text="highlight">
      <formula>G112="Pass"</formula>
    </cfRule>
  </conditionalFormatting>
  <conditionalFormatting sqref="D113">
    <cfRule type="containsText" dxfId="1240" priority="285" operator="containsText" text="highlight">
      <formula>ISBLANK(D113)</formula>
    </cfRule>
  </conditionalFormatting>
  <conditionalFormatting sqref="G113">
    <cfRule type="containsText" dxfId="1239" priority="286" operator="containsText" text="highlight">
      <formula>G113="Fail"</formula>
    </cfRule>
    <cfRule type="containsText" dxfId="1238" priority="287" operator="containsText" text="highlight">
      <formula>G113="Pass"</formula>
    </cfRule>
  </conditionalFormatting>
  <conditionalFormatting sqref="D114">
    <cfRule type="containsText" dxfId="1237" priority="288" operator="containsText" text="highlight">
      <formula>ISBLANK(D114)</formula>
    </cfRule>
  </conditionalFormatting>
  <conditionalFormatting sqref="G114">
    <cfRule type="containsText" dxfId="1236" priority="289" operator="containsText" text="highlight">
      <formula>G114="Fail"</formula>
    </cfRule>
    <cfRule type="containsText" dxfId="1235" priority="290" operator="containsText" text="highlight">
      <formula>G114="Pass"</formula>
    </cfRule>
  </conditionalFormatting>
  <conditionalFormatting sqref="D115">
    <cfRule type="containsText" dxfId="1234" priority="291" operator="containsText" text="highlight">
      <formula>ISBLANK(D115)</formula>
    </cfRule>
  </conditionalFormatting>
  <conditionalFormatting sqref="G115">
    <cfRule type="containsText" dxfId="1233" priority="292" operator="containsText" text="highlight">
      <formula>G115="Fail"</formula>
    </cfRule>
    <cfRule type="containsText" dxfId="1232" priority="293" operator="containsText" text="highlight">
      <formula>G115="Pass"</formula>
    </cfRule>
  </conditionalFormatting>
  <conditionalFormatting sqref="D116">
    <cfRule type="containsText" dxfId="1231" priority="294" operator="containsText" text="highlight">
      <formula>ISBLANK(D116)</formula>
    </cfRule>
  </conditionalFormatting>
  <conditionalFormatting sqref="G116">
    <cfRule type="containsText" dxfId="1230" priority="295" operator="containsText" text="highlight">
      <formula>G116="Fail"</formula>
    </cfRule>
    <cfRule type="containsText" dxfId="1229" priority="296" operator="containsText" text="highlight">
      <formula>G116="Pass"</formula>
    </cfRule>
  </conditionalFormatting>
  <conditionalFormatting sqref="D117">
    <cfRule type="containsText" dxfId="1228" priority="297" operator="containsText" text="highlight">
      <formula>ISBLANK(D117)</formula>
    </cfRule>
  </conditionalFormatting>
  <conditionalFormatting sqref="G117">
    <cfRule type="containsText" dxfId="1227" priority="298" operator="containsText" text="highlight">
      <formula>G117="Fail"</formula>
    </cfRule>
    <cfRule type="containsText" dxfId="1226" priority="299" operator="containsText" text="highlight">
      <formula>G117="Pass"</formula>
    </cfRule>
  </conditionalFormatting>
  <conditionalFormatting sqref="D118">
    <cfRule type="containsText" dxfId="1225" priority="300" operator="containsText" text="highlight">
      <formula>ISBLANK(D118)</formula>
    </cfRule>
  </conditionalFormatting>
  <conditionalFormatting sqref="G118">
    <cfRule type="containsText" dxfId="1224" priority="301" operator="containsText" text="highlight">
      <formula>G118="Fail"</formula>
    </cfRule>
    <cfRule type="containsText" dxfId="1223" priority="302" operator="containsText" text="highlight">
      <formula>G118="Pass"</formula>
    </cfRule>
  </conditionalFormatting>
  <conditionalFormatting sqref="D119">
    <cfRule type="containsText" dxfId="1222" priority="303" operator="containsText" text="highlight">
      <formula>ISBLANK(D119)</formula>
    </cfRule>
  </conditionalFormatting>
  <conditionalFormatting sqref="G119">
    <cfRule type="containsText" dxfId="1221" priority="304" operator="containsText" text="highlight">
      <formula>G119="Fail"</formula>
    </cfRule>
    <cfRule type="containsText" dxfId="1220" priority="305" operator="containsText" text="highlight">
      <formula>G119="Pass"</formula>
    </cfRule>
  </conditionalFormatting>
  <conditionalFormatting sqref="D120">
    <cfRule type="containsText" dxfId="1219" priority="306" operator="containsText" text="highlight">
      <formula>ISBLANK(D120)</formula>
    </cfRule>
  </conditionalFormatting>
  <conditionalFormatting sqref="G120">
    <cfRule type="containsText" dxfId="1218" priority="307" operator="containsText" text="highlight">
      <formula>G120="Fail"</formula>
    </cfRule>
    <cfRule type="containsText" dxfId="1217" priority="308" operator="containsText" text="highlight">
      <formula>G120="Pass"</formula>
    </cfRule>
  </conditionalFormatting>
  <conditionalFormatting sqref="D121">
    <cfRule type="containsText" dxfId="1216" priority="309" operator="containsText" text="highlight">
      <formula>ISBLANK(D121)</formula>
    </cfRule>
  </conditionalFormatting>
  <conditionalFormatting sqref="G121">
    <cfRule type="containsText" dxfId="1215" priority="310" operator="containsText" text="highlight">
      <formula>G121="Fail"</formula>
    </cfRule>
    <cfRule type="containsText" dxfId="1214" priority="311" operator="containsText" text="highlight">
      <formula>G121="Pass"</formula>
    </cfRule>
  </conditionalFormatting>
  <conditionalFormatting sqref="D122">
    <cfRule type="containsText" dxfId="1213" priority="312" operator="containsText" text="highlight">
      <formula>ISBLANK(D122)</formula>
    </cfRule>
  </conditionalFormatting>
  <conditionalFormatting sqref="G122">
    <cfRule type="containsText" dxfId="1212" priority="313" operator="containsText" text="highlight">
      <formula>G122="Fail"</formula>
    </cfRule>
    <cfRule type="containsText" dxfId="1211" priority="314" operator="containsText" text="highlight">
      <formula>G122="Pass"</formula>
    </cfRule>
  </conditionalFormatting>
  <conditionalFormatting sqref="D123">
    <cfRule type="containsText" dxfId="1210" priority="315" operator="containsText" text="highlight">
      <formula>ISBLANK(D123)</formula>
    </cfRule>
  </conditionalFormatting>
  <conditionalFormatting sqref="G123">
    <cfRule type="containsText" dxfId="1209" priority="316" operator="containsText" text="highlight">
      <formula>G123="Fail"</formula>
    </cfRule>
    <cfRule type="containsText" dxfId="1208" priority="317" operator="containsText" text="highlight">
      <formula>G123="Pass"</formula>
    </cfRule>
  </conditionalFormatting>
  <conditionalFormatting sqref="D124">
    <cfRule type="containsText" dxfId="1207" priority="318" operator="containsText" text="highlight">
      <formula>ISBLANK(D124)</formula>
    </cfRule>
  </conditionalFormatting>
  <conditionalFormatting sqref="G124">
    <cfRule type="containsText" dxfId="1206" priority="319" operator="containsText" text="highlight">
      <formula>G124="Fail"</formula>
    </cfRule>
    <cfRule type="containsText" dxfId="1205" priority="320" operator="containsText" text="highlight">
      <formula>G124="Pass"</formula>
    </cfRule>
  </conditionalFormatting>
  <conditionalFormatting sqref="D125">
    <cfRule type="containsText" dxfId="1204" priority="321" operator="containsText" text="highlight">
      <formula>ISBLANK(D125)</formula>
    </cfRule>
  </conditionalFormatting>
  <conditionalFormatting sqref="G125">
    <cfRule type="containsText" dxfId="1203" priority="322" operator="containsText" text="highlight">
      <formula>G125="Fail"</formula>
    </cfRule>
    <cfRule type="containsText" dxfId="1202" priority="323" operator="containsText" text="highlight">
      <formula>G125="Pass"</formula>
    </cfRule>
  </conditionalFormatting>
  <conditionalFormatting sqref="D126">
    <cfRule type="containsText" dxfId="1201" priority="324" operator="containsText" text="highlight">
      <formula>ISBLANK(D126)</formula>
    </cfRule>
  </conditionalFormatting>
  <conditionalFormatting sqref="G126">
    <cfRule type="containsText" dxfId="1200" priority="325" operator="containsText" text="highlight">
      <formula>G126="Fail"</formula>
    </cfRule>
    <cfRule type="containsText" dxfId="1199" priority="326" operator="containsText" text="highlight">
      <formula>G126="Pass"</formula>
    </cfRule>
  </conditionalFormatting>
  <conditionalFormatting sqref="D127">
    <cfRule type="containsText" dxfId="1198" priority="327" operator="containsText" text="highlight">
      <formula>ISBLANK(D127)</formula>
    </cfRule>
  </conditionalFormatting>
  <conditionalFormatting sqref="G127">
    <cfRule type="containsText" dxfId="1197" priority="328" operator="containsText" text="highlight">
      <formula>G127="Fail"</formula>
    </cfRule>
    <cfRule type="containsText" dxfId="1196" priority="329" operator="containsText" text="highlight">
      <formula>G127="Pass"</formula>
    </cfRule>
  </conditionalFormatting>
  <conditionalFormatting sqref="D128">
    <cfRule type="containsText" dxfId="1195" priority="330" operator="containsText" text="highlight">
      <formula>ISBLANK(D128)</formula>
    </cfRule>
  </conditionalFormatting>
  <conditionalFormatting sqref="G128">
    <cfRule type="containsText" dxfId="1194" priority="331" operator="containsText" text="highlight">
      <formula>G128="Fail"</formula>
    </cfRule>
    <cfRule type="containsText" dxfId="1193" priority="332" operator="containsText" text="highlight">
      <formula>G128="Pass"</formula>
    </cfRule>
  </conditionalFormatting>
  <conditionalFormatting sqref="D129">
    <cfRule type="containsText" dxfId="1192" priority="333" operator="containsText" text="highlight">
      <formula>ISBLANK(D129)</formula>
    </cfRule>
  </conditionalFormatting>
  <conditionalFormatting sqref="G129">
    <cfRule type="containsText" dxfId="1191" priority="334" operator="containsText" text="highlight">
      <formula>G129="Fail"</formula>
    </cfRule>
    <cfRule type="containsText" dxfId="1190" priority="335" operator="containsText" text="highlight">
      <formula>G129="Pass"</formula>
    </cfRule>
  </conditionalFormatting>
  <conditionalFormatting sqref="D130">
    <cfRule type="containsText" dxfId="1189" priority="336" operator="containsText" text="highlight">
      <formula>ISBLANK(D130)</formula>
    </cfRule>
  </conditionalFormatting>
  <conditionalFormatting sqref="G130">
    <cfRule type="containsText" dxfId="1188" priority="337" operator="containsText" text="highlight">
      <formula>G130="Fail"</formula>
    </cfRule>
    <cfRule type="containsText" dxfId="1187" priority="338" operator="containsText" text="highlight">
      <formula>G130="Pass"</formula>
    </cfRule>
  </conditionalFormatting>
  <conditionalFormatting sqref="D131">
    <cfRule type="containsText" dxfId="1186" priority="339" operator="containsText" text="highlight">
      <formula>ISBLANK(D131)</formula>
    </cfRule>
  </conditionalFormatting>
  <conditionalFormatting sqref="G131">
    <cfRule type="containsText" dxfId="1185" priority="340" operator="containsText" text="highlight">
      <formula>G131="Fail"</formula>
    </cfRule>
    <cfRule type="containsText" dxfId="1184" priority="341" operator="containsText" text="highlight">
      <formula>G131="Pass"</formula>
    </cfRule>
  </conditionalFormatting>
  <conditionalFormatting sqref="D132">
    <cfRule type="containsText" dxfId="1183" priority="342" operator="containsText" text="highlight">
      <formula>ISBLANK(D132)</formula>
    </cfRule>
  </conditionalFormatting>
  <conditionalFormatting sqref="G132">
    <cfRule type="containsText" dxfId="1182" priority="343" operator="containsText" text="highlight">
      <formula>G132="Fail"</formula>
    </cfRule>
    <cfRule type="containsText" dxfId="1181" priority="344" operator="containsText" text="highlight">
      <formula>G132="Pass"</formula>
    </cfRule>
  </conditionalFormatting>
  <conditionalFormatting sqref="D133">
    <cfRule type="containsText" dxfId="1180" priority="345" operator="containsText" text="highlight">
      <formula>ISBLANK(D133)</formula>
    </cfRule>
  </conditionalFormatting>
  <conditionalFormatting sqref="G133">
    <cfRule type="containsText" dxfId="1179" priority="346" operator="containsText" text="highlight">
      <formula>G133="Fail"</formula>
    </cfRule>
    <cfRule type="containsText" dxfId="1178" priority="347" operator="containsText" text="highlight">
      <formula>G133="Pass"</formula>
    </cfRule>
  </conditionalFormatting>
  <conditionalFormatting sqref="D134">
    <cfRule type="containsText" dxfId="1177" priority="348" operator="containsText" text="highlight">
      <formula>ISBLANK(D134)</formula>
    </cfRule>
  </conditionalFormatting>
  <conditionalFormatting sqref="G134">
    <cfRule type="containsText" dxfId="1176" priority="349" operator="containsText" text="highlight">
      <formula>G134="Fail"</formula>
    </cfRule>
    <cfRule type="containsText" dxfId="1175" priority="350" operator="containsText" text="highlight">
      <formula>G134="Pass"</formula>
    </cfRule>
  </conditionalFormatting>
  <conditionalFormatting sqref="D135">
    <cfRule type="containsText" dxfId="1174" priority="351" operator="containsText" text="highlight">
      <formula>ISBLANK(D135)</formula>
    </cfRule>
  </conditionalFormatting>
  <conditionalFormatting sqref="G135">
    <cfRule type="containsText" dxfId="1173" priority="352" operator="containsText" text="highlight">
      <formula>G135="Fail"</formula>
    </cfRule>
    <cfRule type="containsText" dxfId="1172" priority="353" operator="containsText" text="highlight">
      <formula>G135="Pass"</formula>
    </cfRule>
  </conditionalFormatting>
  <conditionalFormatting sqref="D136">
    <cfRule type="containsText" dxfId="1171" priority="354" operator="containsText" text="highlight">
      <formula>ISBLANK(D136)</formula>
    </cfRule>
  </conditionalFormatting>
  <conditionalFormatting sqref="G136">
    <cfRule type="containsText" dxfId="1170" priority="355" operator="containsText" text="highlight">
      <formula>G136="Fail"</formula>
    </cfRule>
    <cfRule type="containsText" dxfId="1169" priority="356" operator="containsText" text="highlight">
      <formula>G136="Pass"</formula>
    </cfRule>
  </conditionalFormatting>
  <conditionalFormatting sqref="D137">
    <cfRule type="containsText" dxfId="1168" priority="357" operator="containsText" text="highlight">
      <formula>ISBLANK(D137)</formula>
    </cfRule>
  </conditionalFormatting>
  <conditionalFormatting sqref="G137">
    <cfRule type="containsText" dxfId="1167" priority="358" operator="containsText" text="highlight">
      <formula>G137="Fail"</formula>
    </cfRule>
    <cfRule type="containsText" dxfId="1166" priority="359" operator="containsText" text="highlight">
      <formula>G137="Pass"</formula>
    </cfRule>
  </conditionalFormatting>
  <conditionalFormatting sqref="D138">
    <cfRule type="containsText" dxfId="1165" priority="360" operator="containsText" text="highlight">
      <formula>ISBLANK(D138)</formula>
    </cfRule>
  </conditionalFormatting>
  <conditionalFormatting sqref="G138">
    <cfRule type="containsText" dxfId="1164" priority="361" operator="containsText" text="highlight">
      <formula>G138="Fail"</formula>
    </cfRule>
    <cfRule type="containsText" dxfId="1163" priority="362" operator="containsText" text="highlight">
      <formula>G138="Pass"</formula>
    </cfRule>
  </conditionalFormatting>
  <conditionalFormatting sqref="M142">
    <cfRule type="containsText" dxfId="1162" priority="363" operator="containsText" text="highlight">
      <formula>ISBLANK(M142)</formula>
    </cfRule>
  </conditionalFormatting>
  <conditionalFormatting sqref="N142">
    <cfRule type="containsText" dxfId="1161" priority="364" operator="containsText" text="highlight">
      <formula>ISBLANK(N142)</formula>
    </cfRule>
  </conditionalFormatting>
  <conditionalFormatting sqref="G142">
    <cfRule type="containsText" dxfId="1160" priority="365" operator="containsText" text="highlight">
      <formula>G142="Fail"</formula>
    </cfRule>
    <cfRule type="containsText" dxfId="1159" priority="366" operator="containsText" text="highlight">
      <formula>G142="Pass"</formula>
    </cfRule>
  </conditionalFormatting>
  <conditionalFormatting sqref="M143">
    <cfRule type="containsText" dxfId="1158" priority="367" operator="containsText" text="highlight">
      <formula>ISBLANK(M143)</formula>
    </cfRule>
  </conditionalFormatting>
  <conditionalFormatting sqref="N143">
    <cfRule type="containsText" dxfId="1157" priority="368" operator="containsText" text="highlight">
      <formula>ISBLANK(N143)</formula>
    </cfRule>
  </conditionalFormatting>
  <conditionalFormatting sqref="G143">
    <cfRule type="containsText" dxfId="1156" priority="369" operator="containsText" text="highlight">
      <formula>G143="Fail"</formula>
    </cfRule>
    <cfRule type="containsText" dxfId="1155" priority="370" operator="containsText" text="highlight">
      <formula>G143="Pass"</formula>
    </cfRule>
  </conditionalFormatting>
  <conditionalFormatting sqref="M144">
    <cfRule type="containsText" dxfId="1154" priority="371" operator="containsText" text="highlight">
      <formula>ISBLANK(M144)</formula>
    </cfRule>
  </conditionalFormatting>
  <conditionalFormatting sqref="N144">
    <cfRule type="containsText" dxfId="1153" priority="372" operator="containsText" text="highlight">
      <formula>ISBLANK(N144)</formula>
    </cfRule>
  </conditionalFormatting>
  <conditionalFormatting sqref="G144">
    <cfRule type="containsText" dxfId="1152" priority="373" operator="containsText" text="highlight">
      <formula>G144="Fail"</formula>
    </cfRule>
    <cfRule type="containsText" dxfId="1151" priority="374" operator="containsText" text="highlight">
      <formula>G144="Pass"</formula>
    </cfRule>
  </conditionalFormatting>
  <conditionalFormatting sqref="M145">
    <cfRule type="containsText" dxfId="1150" priority="375" operator="containsText" text="highlight">
      <formula>ISBLANK(M145)</formula>
    </cfRule>
  </conditionalFormatting>
  <conditionalFormatting sqref="N145">
    <cfRule type="containsText" dxfId="1149" priority="376" operator="containsText" text="highlight">
      <formula>ISBLANK(N145)</formula>
    </cfRule>
  </conditionalFormatting>
  <conditionalFormatting sqref="G145">
    <cfRule type="containsText" dxfId="1148" priority="377" operator="containsText" text="highlight">
      <formula>G145="Fail"</formula>
    </cfRule>
    <cfRule type="containsText" dxfId="1147" priority="378" operator="containsText" text="highlight">
      <formula>G145="Pass"</formula>
    </cfRule>
  </conditionalFormatting>
  <conditionalFormatting sqref="M146">
    <cfRule type="containsText" dxfId="1146" priority="379" operator="containsText" text="highlight">
      <formula>ISBLANK(M146)</formula>
    </cfRule>
  </conditionalFormatting>
  <conditionalFormatting sqref="N146">
    <cfRule type="containsText" dxfId="1145" priority="380" operator="containsText" text="highlight">
      <formula>ISBLANK(N146)</formula>
    </cfRule>
  </conditionalFormatting>
  <conditionalFormatting sqref="G146">
    <cfRule type="containsText" dxfId="1144" priority="381" operator="containsText" text="highlight">
      <formula>G146="Fail"</formula>
    </cfRule>
    <cfRule type="containsText" dxfId="1143" priority="382" operator="containsText" text="highlight">
      <formula>G146="Pass"</formula>
    </cfRule>
  </conditionalFormatting>
  <conditionalFormatting sqref="M147">
    <cfRule type="containsText" dxfId="1142" priority="383" operator="containsText" text="highlight">
      <formula>ISBLANK(M147)</formula>
    </cfRule>
  </conditionalFormatting>
  <conditionalFormatting sqref="N147">
    <cfRule type="containsText" dxfId="1141" priority="384" operator="containsText" text="highlight">
      <formula>ISBLANK(N147)</formula>
    </cfRule>
  </conditionalFormatting>
  <conditionalFormatting sqref="G147">
    <cfRule type="containsText" dxfId="1140" priority="385" operator="containsText" text="highlight">
      <formula>G147="Fail"</formula>
    </cfRule>
    <cfRule type="containsText" dxfId="1139" priority="386" operator="containsText" text="highlight">
      <formula>G147="Pass"</formula>
    </cfRule>
  </conditionalFormatting>
  <conditionalFormatting sqref="M148">
    <cfRule type="containsText" dxfId="1138" priority="387" operator="containsText" text="highlight">
      <formula>ISBLANK(M148)</formula>
    </cfRule>
  </conditionalFormatting>
  <conditionalFormatting sqref="N148">
    <cfRule type="containsText" dxfId="1137" priority="388" operator="containsText" text="highlight">
      <formula>ISBLANK(N148)</formula>
    </cfRule>
  </conditionalFormatting>
  <conditionalFormatting sqref="G148">
    <cfRule type="containsText" dxfId="1136" priority="389" operator="containsText" text="highlight">
      <formula>G148="Fail"</formula>
    </cfRule>
    <cfRule type="containsText" dxfId="1135" priority="390" operator="containsText" text="highlight">
      <formula>G148="Pass"</formula>
    </cfRule>
  </conditionalFormatting>
  <conditionalFormatting sqref="M149">
    <cfRule type="containsText" dxfId="1134" priority="391" operator="containsText" text="highlight">
      <formula>ISBLANK(M149)</formula>
    </cfRule>
  </conditionalFormatting>
  <conditionalFormatting sqref="N149">
    <cfRule type="containsText" dxfId="1133" priority="392" operator="containsText" text="highlight">
      <formula>ISBLANK(N149)</formula>
    </cfRule>
  </conditionalFormatting>
  <conditionalFormatting sqref="G149">
    <cfRule type="containsText" dxfId="1132" priority="393" operator="containsText" text="highlight">
      <formula>G149="Fail"</formula>
    </cfRule>
    <cfRule type="containsText" dxfId="1131" priority="394" operator="containsText" text="highlight">
      <formula>G149="Pass"</formula>
    </cfRule>
  </conditionalFormatting>
  <conditionalFormatting sqref="M150">
    <cfRule type="containsText" dxfId="1130" priority="395" operator="containsText" text="highlight">
      <formula>ISBLANK(M150)</formula>
    </cfRule>
  </conditionalFormatting>
  <conditionalFormatting sqref="N150">
    <cfRule type="containsText" dxfId="1129" priority="396" operator="containsText" text="highlight">
      <formula>ISBLANK(N150)</formula>
    </cfRule>
  </conditionalFormatting>
  <conditionalFormatting sqref="G150">
    <cfRule type="containsText" dxfId="1128" priority="397" operator="containsText" text="highlight">
      <formula>G150="Fail"</formula>
    </cfRule>
    <cfRule type="containsText" dxfId="1127" priority="398" operator="containsText" text="highlight">
      <formula>G150="Pass"</formula>
    </cfRule>
  </conditionalFormatting>
  <conditionalFormatting sqref="M151">
    <cfRule type="containsText" dxfId="1126" priority="399" operator="containsText" text="highlight">
      <formula>ISBLANK(M151)</formula>
    </cfRule>
  </conditionalFormatting>
  <conditionalFormatting sqref="N151">
    <cfRule type="containsText" dxfId="1125" priority="400" operator="containsText" text="highlight">
      <formula>ISBLANK(N151)</formula>
    </cfRule>
  </conditionalFormatting>
  <conditionalFormatting sqref="G151">
    <cfRule type="containsText" dxfId="1124" priority="401" operator="containsText" text="highlight">
      <formula>G151="Fail"</formula>
    </cfRule>
    <cfRule type="containsText" dxfId="1123" priority="402" operator="containsText" text="highlight">
      <formula>G151="Pass"</formula>
    </cfRule>
  </conditionalFormatting>
  <conditionalFormatting sqref="M152">
    <cfRule type="containsText" dxfId="1122" priority="403" operator="containsText" text="highlight">
      <formula>ISBLANK(M152)</formula>
    </cfRule>
  </conditionalFormatting>
  <conditionalFormatting sqref="N152">
    <cfRule type="containsText" dxfId="1121" priority="404" operator="containsText" text="highlight">
      <formula>ISBLANK(N152)</formula>
    </cfRule>
  </conditionalFormatting>
  <conditionalFormatting sqref="G152">
    <cfRule type="containsText" dxfId="1120" priority="405" operator="containsText" text="highlight">
      <formula>G152="Fail"</formula>
    </cfRule>
    <cfRule type="containsText" dxfId="1119" priority="406" operator="containsText" text="highlight">
      <formula>G152="Pass"</formula>
    </cfRule>
  </conditionalFormatting>
  <conditionalFormatting sqref="M153">
    <cfRule type="containsText" dxfId="1118" priority="407" operator="containsText" text="highlight">
      <formula>ISBLANK(M153)</formula>
    </cfRule>
  </conditionalFormatting>
  <conditionalFormatting sqref="N153">
    <cfRule type="containsText" dxfId="1117" priority="408" operator="containsText" text="highlight">
      <formula>ISBLANK(N153)</formula>
    </cfRule>
  </conditionalFormatting>
  <conditionalFormatting sqref="G153">
    <cfRule type="containsText" dxfId="1116" priority="409" operator="containsText" text="highlight">
      <formula>G153="Fail"</formula>
    </cfRule>
    <cfRule type="containsText" dxfId="1115" priority="410" operator="containsText" text="highlight">
      <formula>G153="Pass"</formula>
    </cfRule>
  </conditionalFormatting>
  <conditionalFormatting sqref="M154">
    <cfRule type="containsText" dxfId="1114" priority="411" operator="containsText" text="highlight">
      <formula>ISBLANK(M154)</formula>
    </cfRule>
  </conditionalFormatting>
  <conditionalFormatting sqref="N154">
    <cfRule type="containsText" dxfId="1113" priority="412" operator="containsText" text="highlight">
      <formula>ISBLANK(N154)</formula>
    </cfRule>
  </conditionalFormatting>
  <conditionalFormatting sqref="G154">
    <cfRule type="containsText" dxfId="1112" priority="413" operator="containsText" text="highlight">
      <formula>G154="Fail"</formula>
    </cfRule>
    <cfRule type="containsText" dxfId="1111" priority="414" operator="containsText" text="highlight">
      <formula>G154="Pass"</formula>
    </cfRule>
  </conditionalFormatting>
  <conditionalFormatting sqref="M155">
    <cfRule type="containsText" dxfId="1110" priority="415" operator="containsText" text="highlight">
      <formula>ISBLANK(M155)</formula>
    </cfRule>
  </conditionalFormatting>
  <conditionalFormatting sqref="N155">
    <cfRule type="containsText" dxfId="1109" priority="416" operator="containsText" text="highlight">
      <formula>ISBLANK(N155)</formula>
    </cfRule>
  </conditionalFormatting>
  <conditionalFormatting sqref="G155">
    <cfRule type="containsText" dxfId="1108" priority="417" operator="containsText" text="highlight">
      <formula>G155="Fail"</formula>
    </cfRule>
    <cfRule type="containsText" dxfId="1107" priority="418" operator="containsText" text="highlight">
      <formula>G155="Pass"</formula>
    </cfRule>
  </conditionalFormatting>
  <conditionalFormatting sqref="M156">
    <cfRule type="containsText" dxfId="1106" priority="419" operator="containsText" text="highlight">
      <formula>ISBLANK(M156)</formula>
    </cfRule>
  </conditionalFormatting>
  <conditionalFormatting sqref="N156">
    <cfRule type="containsText" dxfId="1105" priority="420" operator="containsText" text="highlight">
      <formula>ISBLANK(N156)</formula>
    </cfRule>
  </conditionalFormatting>
  <conditionalFormatting sqref="G156">
    <cfRule type="containsText" dxfId="1104" priority="421" operator="containsText" text="highlight">
      <formula>G156="Fail"</formula>
    </cfRule>
    <cfRule type="containsText" dxfId="1103" priority="422" operator="containsText" text="highlight">
      <formula>G156="Pass"</formula>
    </cfRule>
  </conditionalFormatting>
  <conditionalFormatting sqref="M157">
    <cfRule type="containsText" dxfId="1102" priority="423" operator="containsText" text="highlight">
      <formula>ISBLANK(M157)</formula>
    </cfRule>
  </conditionalFormatting>
  <conditionalFormatting sqref="N157">
    <cfRule type="containsText" dxfId="1101" priority="424" operator="containsText" text="highlight">
      <formula>ISBLANK(N157)</formula>
    </cfRule>
  </conditionalFormatting>
  <conditionalFormatting sqref="G157">
    <cfRule type="containsText" dxfId="1100" priority="425" operator="containsText" text="highlight">
      <formula>G157="Fail"</formula>
    </cfRule>
    <cfRule type="containsText" dxfId="1099" priority="426" operator="containsText" text="highlight">
      <formula>G157="Pass"</formula>
    </cfRule>
  </conditionalFormatting>
  <conditionalFormatting sqref="M158">
    <cfRule type="containsText" dxfId="1098" priority="427" operator="containsText" text="highlight">
      <formula>ISBLANK(M158)</formula>
    </cfRule>
  </conditionalFormatting>
  <conditionalFormatting sqref="N158">
    <cfRule type="containsText" dxfId="1097" priority="428" operator="containsText" text="highlight">
      <formula>ISBLANK(N158)</formula>
    </cfRule>
  </conditionalFormatting>
  <conditionalFormatting sqref="G158">
    <cfRule type="containsText" dxfId="1096" priority="429" operator="containsText" text="highlight">
      <formula>G158="Fail"</formula>
    </cfRule>
    <cfRule type="containsText" dxfId="1095" priority="430" operator="containsText" text="highlight">
      <formula>G158="Pass"</formula>
    </cfRule>
  </conditionalFormatting>
  <conditionalFormatting sqref="M159">
    <cfRule type="containsText" dxfId="1094" priority="431" operator="containsText" text="highlight">
      <formula>ISBLANK(M159)</formula>
    </cfRule>
  </conditionalFormatting>
  <conditionalFormatting sqref="N159">
    <cfRule type="containsText" dxfId="1093" priority="432" operator="containsText" text="highlight">
      <formula>ISBLANK(N159)</formula>
    </cfRule>
  </conditionalFormatting>
  <conditionalFormatting sqref="G159">
    <cfRule type="containsText" dxfId="1092" priority="433" operator="containsText" text="highlight">
      <formula>G159="Fail"</formula>
    </cfRule>
    <cfRule type="containsText" dxfId="1091" priority="434" operator="containsText" text="highlight">
      <formula>G159="Pass"</formula>
    </cfRule>
  </conditionalFormatting>
  <conditionalFormatting sqref="M160">
    <cfRule type="containsText" dxfId="1090" priority="435" operator="containsText" text="highlight">
      <formula>ISBLANK(M160)</formula>
    </cfRule>
  </conditionalFormatting>
  <conditionalFormatting sqref="N160">
    <cfRule type="containsText" dxfId="1089" priority="436" operator="containsText" text="highlight">
      <formula>ISBLANK(N160)</formula>
    </cfRule>
  </conditionalFormatting>
  <conditionalFormatting sqref="G160">
    <cfRule type="containsText" dxfId="1088" priority="437" operator="containsText" text="highlight">
      <formula>G160="Fail"</formula>
    </cfRule>
    <cfRule type="containsText" dxfId="1087" priority="438" operator="containsText" text="highlight">
      <formula>G160="Pass"</formula>
    </cfRule>
  </conditionalFormatting>
  <conditionalFormatting sqref="M161">
    <cfRule type="containsText" dxfId="1086" priority="439" operator="containsText" text="highlight">
      <formula>ISBLANK(M161)</formula>
    </cfRule>
  </conditionalFormatting>
  <conditionalFormatting sqref="N161">
    <cfRule type="containsText" dxfId="1085" priority="440" operator="containsText" text="highlight">
      <formula>ISBLANK(N161)</formula>
    </cfRule>
  </conditionalFormatting>
  <conditionalFormatting sqref="G161">
    <cfRule type="containsText" dxfId="1084" priority="441" operator="containsText" text="highlight">
      <formula>G161="Fail"</formula>
    </cfRule>
    <cfRule type="containsText" dxfId="1083" priority="442" operator="containsText" text="highlight">
      <formula>G161="Pass"</formula>
    </cfRule>
  </conditionalFormatting>
  <conditionalFormatting sqref="M162">
    <cfRule type="containsText" dxfId="1082" priority="443" operator="containsText" text="highlight">
      <formula>ISBLANK(M162)</formula>
    </cfRule>
  </conditionalFormatting>
  <conditionalFormatting sqref="N162">
    <cfRule type="containsText" dxfId="1081" priority="444" operator="containsText" text="highlight">
      <formula>ISBLANK(N162)</formula>
    </cfRule>
  </conditionalFormatting>
  <conditionalFormatting sqref="G162">
    <cfRule type="containsText" dxfId="1080" priority="445" operator="containsText" text="highlight">
      <formula>G162="Fail"</formula>
    </cfRule>
    <cfRule type="containsText" dxfId="1079" priority="446" operator="containsText" text="highlight">
      <formula>G162="Pass"</formula>
    </cfRule>
  </conditionalFormatting>
  <conditionalFormatting sqref="M163">
    <cfRule type="containsText" dxfId="1078" priority="447" operator="containsText" text="highlight">
      <formula>ISBLANK(M163)</formula>
    </cfRule>
  </conditionalFormatting>
  <conditionalFormatting sqref="N163">
    <cfRule type="containsText" dxfId="1077" priority="448" operator="containsText" text="highlight">
      <formula>ISBLANK(N163)</formula>
    </cfRule>
  </conditionalFormatting>
  <conditionalFormatting sqref="G163">
    <cfRule type="containsText" dxfId="1076" priority="449" operator="containsText" text="highlight">
      <formula>G163="Fail"</formula>
    </cfRule>
    <cfRule type="containsText" dxfId="1075" priority="450" operator="containsText" text="highlight">
      <formula>G163="Pass"</formula>
    </cfRule>
  </conditionalFormatting>
  <conditionalFormatting sqref="M164">
    <cfRule type="containsText" dxfId="1074" priority="451" operator="containsText" text="highlight">
      <formula>ISBLANK(M164)</formula>
    </cfRule>
  </conditionalFormatting>
  <conditionalFormatting sqref="N164">
    <cfRule type="containsText" dxfId="1073" priority="452" operator="containsText" text="highlight">
      <formula>ISBLANK(N164)</formula>
    </cfRule>
  </conditionalFormatting>
  <conditionalFormatting sqref="G164">
    <cfRule type="containsText" dxfId="1072" priority="453" operator="containsText" text="highlight">
      <formula>G164="Fail"</formula>
    </cfRule>
    <cfRule type="containsText" dxfId="1071" priority="454" operator="containsText" text="highlight">
      <formula>G164="Pass"</formula>
    </cfRule>
  </conditionalFormatting>
  <conditionalFormatting sqref="M165">
    <cfRule type="containsText" dxfId="1070" priority="455" operator="containsText" text="highlight">
      <formula>ISBLANK(M165)</formula>
    </cfRule>
  </conditionalFormatting>
  <conditionalFormatting sqref="N165">
    <cfRule type="containsText" dxfId="1069" priority="456" operator="containsText" text="highlight">
      <formula>ISBLANK(N165)</formula>
    </cfRule>
  </conditionalFormatting>
  <conditionalFormatting sqref="G165">
    <cfRule type="containsText" dxfId="1068" priority="457" operator="containsText" text="highlight">
      <formula>G165="Fail"</formula>
    </cfRule>
    <cfRule type="containsText" dxfId="1067" priority="458" operator="containsText" text="highlight">
      <formula>G165="Pass"</formula>
    </cfRule>
  </conditionalFormatting>
  <conditionalFormatting sqref="M166">
    <cfRule type="containsText" dxfId="1066" priority="459" operator="containsText" text="highlight">
      <formula>ISBLANK(M166)</formula>
    </cfRule>
  </conditionalFormatting>
  <conditionalFormatting sqref="N166">
    <cfRule type="containsText" dxfId="1065" priority="460" operator="containsText" text="highlight">
      <formula>ISBLANK(N166)</formula>
    </cfRule>
  </conditionalFormatting>
  <conditionalFormatting sqref="G166">
    <cfRule type="containsText" dxfId="1064" priority="461" operator="containsText" text="highlight">
      <formula>G166="Fail"</formula>
    </cfRule>
    <cfRule type="containsText" dxfId="1063" priority="462" operator="containsText" text="highlight">
      <formula>G166="Pass"</formula>
    </cfRule>
  </conditionalFormatting>
  <conditionalFormatting sqref="M167">
    <cfRule type="containsText" dxfId="1062" priority="463" operator="containsText" text="highlight">
      <formula>ISBLANK(M167)</formula>
    </cfRule>
  </conditionalFormatting>
  <conditionalFormatting sqref="N167">
    <cfRule type="containsText" dxfId="1061" priority="464" operator="containsText" text="highlight">
      <formula>ISBLANK(N167)</formula>
    </cfRule>
  </conditionalFormatting>
  <conditionalFormatting sqref="G167">
    <cfRule type="containsText" dxfId="1060" priority="465" operator="containsText" text="highlight">
      <formula>G167="Fail"</formula>
    </cfRule>
    <cfRule type="containsText" dxfId="1059" priority="466" operator="containsText" text="highlight">
      <formula>G167="Pass"</formula>
    </cfRule>
  </conditionalFormatting>
  <conditionalFormatting sqref="M168">
    <cfRule type="containsText" dxfId="1058" priority="467" operator="containsText" text="highlight">
      <formula>ISBLANK(M168)</formula>
    </cfRule>
  </conditionalFormatting>
  <conditionalFormatting sqref="N168">
    <cfRule type="containsText" dxfId="1057" priority="468" operator="containsText" text="highlight">
      <formula>ISBLANK(N168)</formula>
    </cfRule>
  </conditionalFormatting>
  <conditionalFormatting sqref="G168">
    <cfRule type="containsText" dxfId="1056" priority="469" operator="containsText" text="highlight">
      <formula>G168="Fail"</formula>
    </cfRule>
    <cfRule type="containsText" dxfId="1055" priority="470" operator="containsText" text="highlight">
      <formula>G168="Pass"</formula>
    </cfRule>
  </conditionalFormatting>
  <conditionalFormatting sqref="M169">
    <cfRule type="containsText" dxfId="1054" priority="471" operator="containsText" text="highlight">
      <formula>ISBLANK(M169)</formula>
    </cfRule>
  </conditionalFormatting>
  <conditionalFormatting sqref="N169">
    <cfRule type="containsText" dxfId="1053" priority="472" operator="containsText" text="highlight">
      <formula>ISBLANK(N169)</formula>
    </cfRule>
  </conditionalFormatting>
  <conditionalFormatting sqref="G169">
    <cfRule type="containsText" dxfId="1052" priority="473" operator="containsText" text="highlight">
      <formula>G169="Fail"</formula>
    </cfRule>
    <cfRule type="containsText" dxfId="1051" priority="474" operator="containsText" text="highlight">
      <formula>G169="Pass"</formula>
    </cfRule>
  </conditionalFormatting>
  <conditionalFormatting sqref="M170">
    <cfRule type="containsText" dxfId="1050" priority="475" operator="containsText" text="highlight">
      <formula>ISBLANK(M170)</formula>
    </cfRule>
  </conditionalFormatting>
  <conditionalFormatting sqref="N170">
    <cfRule type="containsText" dxfId="1049" priority="476" operator="containsText" text="highlight">
      <formula>ISBLANK(N170)</formula>
    </cfRule>
  </conditionalFormatting>
  <conditionalFormatting sqref="G170">
    <cfRule type="containsText" dxfId="1048" priority="477" operator="containsText" text="highlight">
      <formula>G170="Fail"</formula>
    </cfRule>
    <cfRule type="containsText" dxfId="1047" priority="478" operator="containsText" text="highlight">
      <formula>G170="Pass"</formula>
    </cfRule>
  </conditionalFormatting>
  <conditionalFormatting sqref="M171">
    <cfRule type="containsText" dxfId="1046" priority="479" operator="containsText" text="highlight">
      <formula>ISBLANK(M171)</formula>
    </cfRule>
  </conditionalFormatting>
  <conditionalFormatting sqref="N171">
    <cfRule type="containsText" dxfId="1045" priority="480" operator="containsText" text="highlight">
      <formula>ISBLANK(N171)</formula>
    </cfRule>
  </conditionalFormatting>
  <conditionalFormatting sqref="G171">
    <cfRule type="containsText" dxfId="1044" priority="481" operator="containsText" text="highlight">
      <formula>G171="Fail"</formula>
    </cfRule>
    <cfRule type="containsText" dxfId="1043" priority="482" operator="containsText" text="highlight">
      <formula>G171="Pass"</formula>
    </cfRule>
  </conditionalFormatting>
  <conditionalFormatting sqref="M172">
    <cfRule type="containsText" dxfId="1042" priority="483" operator="containsText" text="highlight">
      <formula>ISBLANK(M172)</formula>
    </cfRule>
  </conditionalFormatting>
  <conditionalFormatting sqref="N172">
    <cfRule type="containsText" dxfId="1041" priority="484" operator="containsText" text="highlight">
      <formula>ISBLANK(N172)</formula>
    </cfRule>
  </conditionalFormatting>
  <conditionalFormatting sqref="G172">
    <cfRule type="containsText" dxfId="1040" priority="485" operator="containsText" text="highlight">
      <formula>G172="Fail"</formula>
    </cfRule>
    <cfRule type="containsText" dxfId="1039" priority="486" operator="containsText" text="highlight">
      <formula>G172="Pass"</formula>
    </cfRule>
  </conditionalFormatting>
  <conditionalFormatting sqref="M173">
    <cfRule type="containsText" dxfId="1038" priority="487" operator="containsText" text="highlight">
      <formula>ISBLANK(M173)</formula>
    </cfRule>
  </conditionalFormatting>
  <conditionalFormatting sqref="N173">
    <cfRule type="containsText" dxfId="1037" priority="488" operator="containsText" text="highlight">
      <formula>ISBLANK(N173)</formula>
    </cfRule>
  </conditionalFormatting>
  <conditionalFormatting sqref="G173">
    <cfRule type="containsText" dxfId="1036" priority="489" operator="containsText" text="highlight">
      <formula>G173="Fail"</formula>
    </cfRule>
    <cfRule type="containsText" dxfId="1035" priority="490" operator="containsText" text="highlight">
      <formula>G173="Pass"</formula>
    </cfRule>
  </conditionalFormatting>
  <conditionalFormatting sqref="M174">
    <cfRule type="containsText" dxfId="1034" priority="491" operator="containsText" text="highlight">
      <formula>ISBLANK(M174)</formula>
    </cfRule>
  </conditionalFormatting>
  <conditionalFormatting sqref="N174">
    <cfRule type="containsText" dxfId="1033" priority="492" operator="containsText" text="highlight">
      <formula>ISBLANK(N174)</formula>
    </cfRule>
  </conditionalFormatting>
  <conditionalFormatting sqref="G174">
    <cfRule type="containsText" dxfId="1032" priority="493" operator="containsText" text="highlight">
      <formula>G174="Fail"</formula>
    </cfRule>
    <cfRule type="containsText" dxfId="1031" priority="494" operator="containsText" text="highlight">
      <formula>G174="Pass"</formula>
    </cfRule>
  </conditionalFormatting>
  <conditionalFormatting sqref="M175">
    <cfRule type="containsText" dxfId="1030" priority="495" operator="containsText" text="highlight">
      <formula>ISBLANK(M175)</formula>
    </cfRule>
  </conditionalFormatting>
  <conditionalFormatting sqref="N175">
    <cfRule type="containsText" dxfId="1029" priority="496" operator="containsText" text="highlight">
      <formula>ISBLANK(N175)</formula>
    </cfRule>
  </conditionalFormatting>
  <conditionalFormatting sqref="G175">
    <cfRule type="containsText" dxfId="1028" priority="497" operator="containsText" text="highlight">
      <formula>G175="Fail"</formula>
    </cfRule>
    <cfRule type="containsText" dxfId="1027" priority="498" operator="containsText" text="highlight">
      <formula>G175="Pass"</formula>
    </cfRule>
  </conditionalFormatting>
  <conditionalFormatting sqref="M176">
    <cfRule type="containsText" dxfId="1026" priority="499" operator="containsText" text="highlight">
      <formula>ISBLANK(M176)</formula>
    </cfRule>
  </conditionalFormatting>
  <conditionalFormatting sqref="N176">
    <cfRule type="containsText" dxfId="1025" priority="500" operator="containsText" text="highlight">
      <formula>ISBLANK(N176)</formula>
    </cfRule>
  </conditionalFormatting>
  <conditionalFormatting sqref="G176">
    <cfRule type="containsText" dxfId="1024" priority="501" operator="containsText" text="highlight">
      <formula>G176="Fail"</formula>
    </cfRule>
    <cfRule type="containsText" dxfId="1023" priority="502" operator="containsText" text="highlight">
      <formula>G176="Pass"</formula>
    </cfRule>
  </conditionalFormatting>
  <conditionalFormatting sqref="M177">
    <cfRule type="containsText" dxfId="1022" priority="503" operator="containsText" text="highlight">
      <formula>ISBLANK(M177)</formula>
    </cfRule>
  </conditionalFormatting>
  <conditionalFormatting sqref="N177">
    <cfRule type="containsText" dxfId="1021" priority="504" operator="containsText" text="highlight">
      <formula>ISBLANK(N177)</formula>
    </cfRule>
  </conditionalFormatting>
  <conditionalFormatting sqref="G177">
    <cfRule type="containsText" dxfId="1020" priority="505" operator="containsText" text="highlight">
      <formula>G177="Fail"</formula>
    </cfRule>
    <cfRule type="containsText" dxfId="1019" priority="506" operator="containsText" text="highlight">
      <formula>G177="Pass"</formula>
    </cfRule>
  </conditionalFormatting>
  <conditionalFormatting sqref="M178">
    <cfRule type="containsText" dxfId="1018" priority="507" operator="containsText" text="highlight">
      <formula>ISBLANK(M178)</formula>
    </cfRule>
  </conditionalFormatting>
  <conditionalFormatting sqref="N178">
    <cfRule type="containsText" dxfId="1017" priority="508" operator="containsText" text="highlight">
      <formula>ISBLANK(N178)</formula>
    </cfRule>
  </conditionalFormatting>
  <conditionalFormatting sqref="G178">
    <cfRule type="containsText" dxfId="1016" priority="509" operator="containsText" text="highlight">
      <formula>G178="Fail"</formula>
    </cfRule>
    <cfRule type="containsText" dxfId="1015" priority="510" operator="containsText" text="highlight">
      <formula>G178="Pass"</formula>
    </cfRule>
  </conditionalFormatting>
  <conditionalFormatting sqref="M179">
    <cfRule type="containsText" dxfId="1014" priority="511" operator="containsText" text="highlight">
      <formula>ISBLANK(M179)</formula>
    </cfRule>
  </conditionalFormatting>
  <conditionalFormatting sqref="N179">
    <cfRule type="containsText" dxfId="1013" priority="512" operator="containsText" text="highlight">
      <formula>ISBLANK(N179)</formula>
    </cfRule>
  </conditionalFormatting>
  <conditionalFormatting sqref="G179">
    <cfRule type="containsText" dxfId="1012" priority="513" operator="containsText" text="highlight">
      <formula>G179="Fail"</formula>
    </cfRule>
    <cfRule type="containsText" dxfId="1011" priority="514" operator="containsText" text="highlight">
      <formula>G179="Pass"</formula>
    </cfRule>
  </conditionalFormatting>
  <conditionalFormatting sqref="M180">
    <cfRule type="containsText" dxfId="1010" priority="515" operator="containsText" text="highlight">
      <formula>ISBLANK(M180)</formula>
    </cfRule>
  </conditionalFormatting>
  <conditionalFormatting sqref="N180">
    <cfRule type="containsText" dxfId="1009" priority="516" operator="containsText" text="highlight">
      <formula>ISBLANK(N180)</formula>
    </cfRule>
  </conditionalFormatting>
  <conditionalFormatting sqref="G180">
    <cfRule type="containsText" dxfId="1008" priority="517" operator="containsText" text="highlight">
      <formula>G180="Fail"</formula>
    </cfRule>
    <cfRule type="containsText" dxfId="1007" priority="518" operator="containsText" text="highlight">
      <formula>G180="Pass"</formula>
    </cfRule>
  </conditionalFormatting>
  <conditionalFormatting sqref="M181">
    <cfRule type="containsText" dxfId="1006" priority="519" operator="containsText" text="highlight">
      <formula>ISBLANK(M181)</formula>
    </cfRule>
  </conditionalFormatting>
  <conditionalFormatting sqref="N181">
    <cfRule type="containsText" dxfId="1005" priority="520" operator="containsText" text="highlight">
      <formula>ISBLANK(N181)</formula>
    </cfRule>
  </conditionalFormatting>
  <conditionalFormatting sqref="G181">
    <cfRule type="containsText" dxfId="1004" priority="521" operator="containsText" text="highlight">
      <formula>G181="Fail"</formula>
    </cfRule>
    <cfRule type="containsText" dxfId="1003" priority="522" operator="containsText" text="highlight">
      <formula>G181="Pass"</formula>
    </cfRule>
  </conditionalFormatting>
  <conditionalFormatting sqref="M182">
    <cfRule type="containsText" dxfId="1002" priority="523" operator="containsText" text="highlight">
      <formula>ISBLANK(M182)</formula>
    </cfRule>
  </conditionalFormatting>
  <conditionalFormatting sqref="N182">
    <cfRule type="containsText" dxfId="1001" priority="524" operator="containsText" text="highlight">
      <formula>ISBLANK(N182)</formula>
    </cfRule>
  </conditionalFormatting>
  <conditionalFormatting sqref="G182">
    <cfRule type="containsText" dxfId="1000" priority="525" operator="containsText" text="highlight">
      <formula>G182="Fail"</formula>
    </cfRule>
    <cfRule type="containsText" dxfId="999" priority="526" operator="containsText" text="highlight">
      <formula>G182="Pass"</formula>
    </cfRule>
  </conditionalFormatting>
  <conditionalFormatting sqref="M183">
    <cfRule type="containsText" dxfId="998" priority="527" operator="containsText" text="highlight">
      <formula>ISBLANK(M183)</formula>
    </cfRule>
  </conditionalFormatting>
  <conditionalFormatting sqref="N183">
    <cfRule type="containsText" dxfId="997" priority="528" operator="containsText" text="highlight">
      <formula>ISBLANK(N183)</formula>
    </cfRule>
  </conditionalFormatting>
  <conditionalFormatting sqref="G183">
    <cfRule type="containsText" dxfId="996" priority="529" operator="containsText" text="highlight">
      <formula>G183="Fail"</formula>
    </cfRule>
    <cfRule type="containsText" dxfId="995" priority="530" operator="containsText" text="highlight">
      <formula>G183="Pass"</formula>
    </cfRule>
  </conditionalFormatting>
  <conditionalFormatting sqref="M184">
    <cfRule type="containsText" dxfId="994" priority="531" operator="containsText" text="highlight">
      <formula>ISBLANK(M184)</formula>
    </cfRule>
  </conditionalFormatting>
  <conditionalFormatting sqref="N184">
    <cfRule type="containsText" dxfId="993" priority="532" operator="containsText" text="highlight">
      <formula>ISBLANK(N184)</formula>
    </cfRule>
  </conditionalFormatting>
  <conditionalFormatting sqref="G184">
    <cfRule type="containsText" dxfId="992" priority="533" operator="containsText" text="highlight">
      <formula>G184="Fail"</formula>
    </cfRule>
    <cfRule type="containsText" dxfId="991" priority="534" operator="containsText" text="highlight">
      <formula>G184="Pass"</formula>
    </cfRule>
  </conditionalFormatting>
  <conditionalFormatting sqref="M185">
    <cfRule type="containsText" dxfId="990" priority="535" operator="containsText" text="highlight">
      <formula>ISBLANK(M185)</formula>
    </cfRule>
  </conditionalFormatting>
  <conditionalFormatting sqref="N185">
    <cfRule type="containsText" dxfId="989" priority="536" operator="containsText" text="highlight">
      <formula>ISBLANK(N185)</formula>
    </cfRule>
  </conditionalFormatting>
  <conditionalFormatting sqref="G185">
    <cfRule type="containsText" dxfId="988" priority="537" operator="containsText" text="highlight">
      <formula>G185="Fail"</formula>
    </cfRule>
    <cfRule type="containsText" dxfId="987" priority="538" operator="containsText" text="highlight">
      <formula>G185="Pass"</formula>
    </cfRule>
  </conditionalFormatting>
  <conditionalFormatting sqref="M186">
    <cfRule type="containsText" dxfId="986" priority="539" operator="containsText" text="highlight">
      <formula>ISBLANK(M186)</formula>
    </cfRule>
  </conditionalFormatting>
  <conditionalFormatting sqref="N186">
    <cfRule type="containsText" dxfId="985" priority="540" operator="containsText" text="highlight">
      <formula>ISBLANK(N186)</formula>
    </cfRule>
  </conditionalFormatting>
  <conditionalFormatting sqref="G186">
    <cfRule type="containsText" dxfId="984" priority="541" operator="containsText" text="highlight">
      <formula>G186="Fail"</formula>
    </cfRule>
    <cfRule type="containsText" dxfId="983" priority="542" operator="containsText" text="highlight">
      <formula>G186="Pass"</formula>
    </cfRule>
  </conditionalFormatting>
  <conditionalFormatting sqref="M187">
    <cfRule type="containsText" dxfId="982" priority="543" operator="containsText" text="highlight">
      <formula>ISBLANK(M187)</formula>
    </cfRule>
  </conditionalFormatting>
  <conditionalFormatting sqref="N187">
    <cfRule type="containsText" dxfId="981" priority="544" operator="containsText" text="highlight">
      <formula>ISBLANK(N187)</formula>
    </cfRule>
  </conditionalFormatting>
  <conditionalFormatting sqref="G187">
    <cfRule type="containsText" dxfId="980" priority="545" operator="containsText" text="highlight">
      <formula>G187="Fail"</formula>
    </cfRule>
    <cfRule type="containsText" dxfId="979" priority="546" operator="containsText" text="highlight">
      <formula>G187="Pass"</formula>
    </cfRule>
  </conditionalFormatting>
  <conditionalFormatting sqref="M188">
    <cfRule type="containsText" dxfId="978" priority="547" operator="containsText" text="highlight">
      <formula>ISBLANK(M188)</formula>
    </cfRule>
  </conditionalFormatting>
  <conditionalFormatting sqref="N188">
    <cfRule type="containsText" dxfId="977" priority="548" operator="containsText" text="highlight">
      <formula>ISBLANK(N188)</formula>
    </cfRule>
  </conditionalFormatting>
  <conditionalFormatting sqref="G188">
    <cfRule type="containsText" dxfId="976" priority="549" operator="containsText" text="highlight">
      <formula>G188="Fail"</formula>
    </cfRule>
    <cfRule type="containsText" dxfId="975" priority="550" operator="containsText" text="highlight">
      <formula>G188="Pass"</formula>
    </cfRule>
  </conditionalFormatting>
  <conditionalFormatting sqref="M189">
    <cfRule type="containsText" dxfId="974" priority="551" operator="containsText" text="highlight">
      <formula>ISBLANK(M189)</formula>
    </cfRule>
  </conditionalFormatting>
  <conditionalFormatting sqref="N189">
    <cfRule type="containsText" dxfId="973" priority="552" operator="containsText" text="highlight">
      <formula>ISBLANK(N189)</formula>
    </cfRule>
  </conditionalFormatting>
  <conditionalFormatting sqref="G189">
    <cfRule type="containsText" dxfId="972" priority="553" operator="containsText" text="highlight">
      <formula>G189="Fail"</formula>
    </cfRule>
    <cfRule type="containsText" dxfId="971" priority="554" operator="containsText" text="highlight">
      <formula>G189="Pass"</formula>
    </cfRule>
  </conditionalFormatting>
  <conditionalFormatting sqref="M190">
    <cfRule type="containsText" dxfId="970" priority="555" operator="containsText" text="highlight">
      <formula>ISBLANK(M190)</formula>
    </cfRule>
  </conditionalFormatting>
  <conditionalFormatting sqref="N190">
    <cfRule type="containsText" dxfId="969" priority="556" operator="containsText" text="highlight">
      <formula>ISBLANK(N190)</formula>
    </cfRule>
  </conditionalFormatting>
  <conditionalFormatting sqref="G190">
    <cfRule type="containsText" dxfId="968" priority="557" operator="containsText" text="highlight">
      <formula>G190="Fail"</formula>
    </cfRule>
    <cfRule type="containsText" dxfId="967" priority="558" operator="containsText" text="highlight">
      <formula>G190="Pass"</formula>
    </cfRule>
  </conditionalFormatting>
  <conditionalFormatting sqref="M191">
    <cfRule type="containsText" dxfId="966" priority="559" operator="containsText" text="highlight">
      <formula>ISBLANK(M191)</formula>
    </cfRule>
  </conditionalFormatting>
  <conditionalFormatting sqref="N191">
    <cfRule type="containsText" dxfId="965" priority="560" operator="containsText" text="highlight">
      <formula>ISBLANK(N191)</formula>
    </cfRule>
  </conditionalFormatting>
  <conditionalFormatting sqref="G191">
    <cfRule type="containsText" dxfId="964" priority="561" operator="containsText" text="highlight">
      <formula>G191="Fail"</formula>
    </cfRule>
    <cfRule type="containsText" dxfId="963" priority="562" operator="containsText" text="highlight">
      <formula>G191="Pass"</formula>
    </cfRule>
  </conditionalFormatting>
  <conditionalFormatting sqref="M192">
    <cfRule type="containsText" dxfId="962" priority="563" operator="containsText" text="highlight">
      <formula>ISBLANK(M192)</formula>
    </cfRule>
  </conditionalFormatting>
  <conditionalFormatting sqref="N192">
    <cfRule type="containsText" dxfId="961" priority="564" operator="containsText" text="highlight">
      <formula>ISBLANK(N192)</formula>
    </cfRule>
  </conditionalFormatting>
  <conditionalFormatting sqref="G192">
    <cfRule type="containsText" dxfId="960" priority="565" operator="containsText" text="highlight">
      <formula>G192="Fail"</formula>
    </cfRule>
    <cfRule type="containsText" dxfId="959" priority="566" operator="containsText" text="highlight">
      <formula>G192="Pass"</formula>
    </cfRule>
  </conditionalFormatting>
  <conditionalFormatting sqref="M193">
    <cfRule type="containsText" dxfId="958" priority="567" operator="containsText" text="highlight">
      <formula>ISBLANK(M193)</formula>
    </cfRule>
  </conditionalFormatting>
  <conditionalFormatting sqref="N193">
    <cfRule type="containsText" dxfId="957" priority="568" operator="containsText" text="highlight">
      <formula>ISBLANK(N193)</formula>
    </cfRule>
  </conditionalFormatting>
  <conditionalFormatting sqref="G193">
    <cfRule type="containsText" dxfId="956" priority="569" operator="containsText" text="highlight">
      <formula>G193="Fail"</formula>
    </cfRule>
    <cfRule type="containsText" dxfId="955" priority="570" operator="containsText" text="highlight">
      <formula>G193="Pass"</formula>
    </cfRule>
  </conditionalFormatting>
  <conditionalFormatting sqref="M194">
    <cfRule type="containsText" dxfId="954" priority="571" operator="containsText" text="highlight">
      <formula>ISBLANK(M194)</formula>
    </cfRule>
  </conditionalFormatting>
  <conditionalFormatting sqref="N194">
    <cfRule type="containsText" dxfId="953" priority="572" operator="containsText" text="highlight">
      <formula>ISBLANK(N194)</formula>
    </cfRule>
  </conditionalFormatting>
  <conditionalFormatting sqref="G194">
    <cfRule type="containsText" dxfId="952" priority="573" operator="containsText" text="highlight">
      <formula>G194="Fail"</formula>
    </cfRule>
    <cfRule type="containsText" dxfId="951" priority="574" operator="containsText" text="highlight">
      <formula>G194="Pass"</formula>
    </cfRule>
  </conditionalFormatting>
  <conditionalFormatting sqref="M195">
    <cfRule type="containsText" dxfId="950" priority="575" operator="containsText" text="highlight">
      <formula>ISBLANK(M195)</formula>
    </cfRule>
  </conditionalFormatting>
  <conditionalFormatting sqref="N195">
    <cfRule type="containsText" dxfId="949" priority="576" operator="containsText" text="highlight">
      <formula>ISBLANK(N195)</formula>
    </cfRule>
  </conditionalFormatting>
  <conditionalFormatting sqref="G195">
    <cfRule type="containsText" dxfId="948" priority="577" operator="containsText" text="highlight">
      <formula>G195="Fail"</formula>
    </cfRule>
    <cfRule type="containsText" dxfId="947" priority="578" operator="containsText" text="highlight">
      <formula>G195="Pass"</formula>
    </cfRule>
  </conditionalFormatting>
  <conditionalFormatting sqref="M196">
    <cfRule type="containsText" dxfId="946" priority="579" operator="containsText" text="highlight">
      <formula>ISBLANK(M196)</formula>
    </cfRule>
  </conditionalFormatting>
  <conditionalFormatting sqref="N196">
    <cfRule type="containsText" dxfId="945" priority="580" operator="containsText" text="highlight">
      <formula>ISBLANK(N196)</formula>
    </cfRule>
  </conditionalFormatting>
  <conditionalFormatting sqref="G196">
    <cfRule type="containsText" dxfId="944" priority="581" operator="containsText" text="highlight">
      <formula>G196="Fail"</formula>
    </cfRule>
    <cfRule type="containsText" dxfId="943" priority="582" operator="containsText" text="highlight">
      <formula>G196="Pass"</formula>
    </cfRule>
  </conditionalFormatting>
  <conditionalFormatting sqref="M197">
    <cfRule type="containsText" dxfId="942" priority="583" operator="containsText" text="highlight">
      <formula>ISBLANK(M197)</formula>
    </cfRule>
  </conditionalFormatting>
  <conditionalFormatting sqref="N197">
    <cfRule type="containsText" dxfId="941" priority="584" operator="containsText" text="highlight">
      <formula>ISBLANK(N197)</formula>
    </cfRule>
  </conditionalFormatting>
  <conditionalFormatting sqref="G197">
    <cfRule type="containsText" dxfId="940" priority="585" operator="containsText" text="highlight">
      <formula>G197="Fail"</formula>
    </cfRule>
    <cfRule type="containsText" dxfId="939" priority="586" operator="containsText" text="highlight">
      <formula>G197="Pass"</formula>
    </cfRule>
  </conditionalFormatting>
  <conditionalFormatting sqref="M198">
    <cfRule type="containsText" dxfId="938" priority="587" operator="containsText" text="highlight">
      <formula>ISBLANK(M198)</formula>
    </cfRule>
  </conditionalFormatting>
  <conditionalFormatting sqref="N198">
    <cfRule type="containsText" dxfId="937" priority="588" operator="containsText" text="highlight">
      <formula>ISBLANK(N198)</formula>
    </cfRule>
  </conditionalFormatting>
  <conditionalFormatting sqref="G198">
    <cfRule type="containsText" dxfId="936" priority="589" operator="containsText" text="highlight">
      <formula>G198="Fail"</formula>
    </cfRule>
    <cfRule type="containsText" dxfId="935" priority="590" operator="containsText" text="highlight">
      <formula>G198="Pass"</formula>
    </cfRule>
  </conditionalFormatting>
  <conditionalFormatting sqref="M199">
    <cfRule type="containsText" dxfId="934" priority="591" operator="containsText" text="highlight">
      <formula>ISBLANK(M199)</formula>
    </cfRule>
  </conditionalFormatting>
  <conditionalFormatting sqref="N199">
    <cfRule type="containsText" dxfId="933" priority="592" operator="containsText" text="highlight">
      <formula>ISBLANK(N199)</formula>
    </cfRule>
  </conditionalFormatting>
  <conditionalFormatting sqref="G199">
    <cfRule type="containsText" dxfId="932" priority="593" operator="containsText" text="highlight">
      <formula>G199="Fail"</formula>
    </cfRule>
    <cfRule type="containsText" dxfId="931" priority="594" operator="containsText" text="highlight">
      <formula>G199="Pass"</formula>
    </cfRule>
  </conditionalFormatting>
  <conditionalFormatting sqref="M200">
    <cfRule type="containsText" dxfId="930" priority="595" operator="containsText" text="highlight">
      <formula>ISBLANK(M200)</formula>
    </cfRule>
  </conditionalFormatting>
  <conditionalFormatting sqref="N200">
    <cfRule type="containsText" dxfId="929" priority="596" operator="containsText" text="highlight">
      <formula>ISBLANK(N200)</formula>
    </cfRule>
  </conditionalFormatting>
  <conditionalFormatting sqref="G200">
    <cfRule type="containsText" dxfId="928" priority="597" operator="containsText" text="highlight">
      <formula>G200="Fail"</formula>
    </cfRule>
    <cfRule type="containsText" dxfId="927" priority="598" operator="containsText" text="highlight">
      <formula>G200="Pass"</formula>
    </cfRule>
  </conditionalFormatting>
  <conditionalFormatting sqref="M201">
    <cfRule type="containsText" dxfId="926" priority="599" operator="containsText" text="highlight">
      <formula>ISBLANK(M201)</formula>
    </cfRule>
  </conditionalFormatting>
  <conditionalFormatting sqref="N201">
    <cfRule type="containsText" dxfId="925" priority="600" operator="containsText" text="highlight">
      <formula>ISBLANK(N201)</formula>
    </cfRule>
  </conditionalFormatting>
  <conditionalFormatting sqref="G201">
    <cfRule type="containsText" dxfId="924" priority="601" operator="containsText" text="highlight">
      <formula>G201="Fail"</formula>
    </cfRule>
    <cfRule type="containsText" dxfId="923" priority="602" operator="containsText" text="highlight">
      <formula>G201="Pass"</formula>
    </cfRule>
  </conditionalFormatting>
  <conditionalFormatting sqref="M202">
    <cfRule type="containsText" dxfId="922" priority="603" operator="containsText" text="highlight">
      <formula>ISBLANK(M202)</formula>
    </cfRule>
  </conditionalFormatting>
  <conditionalFormatting sqref="N202">
    <cfRule type="containsText" dxfId="921" priority="604" operator="containsText" text="highlight">
      <formula>ISBLANK(N202)</formula>
    </cfRule>
  </conditionalFormatting>
  <conditionalFormatting sqref="G202">
    <cfRule type="containsText" dxfId="920" priority="605" operator="containsText" text="highlight">
      <formula>G202="Fail"</formula>
    </cfRule>
    <cfRule type="containsText" dxfId="919" priority="606" operator="containsText" text="highlight">
      <formula>G202="Pass"</formula>
    </cfRule>
  </conditionalFormatting>
  <conditionalFormatting sqref="M203">
    <cfRule type="containsText" dxfId="918" priority="607" operator="containsText" text="highlight">
      <formula>ISBLANK(M203)</formula>
    </cfRule>
  </conditionalFormatting>
  <conditionalFormatting sqref="N203">
    <cfRule type="containsText" dxfId="917" priority="608" operator="containsText" text="highlight">
      <formula>ISBLANK(N203)</formula>
    </cfRule>
  </conditionalFormatting>
  <conditionalFormatting sqref="G203">
    <cfRule type="containsText" dxfId="916" priority="609" operator="containsText" text="highlight">
      <formula>G203="Fail"</formula>
    </cfRule>
    <cfRule type="containsText" dxfId="915" priority="610" operator="containsText" text="highlight">
      <formula>G203="Pass"</formula>
    </cfRule>
  </conditionalFormatting>
  <conditionalFormatting sqref="M204">
    <cfRule type="containsText" dxfId="914" priority="611" operator="containsText" text="highlight">
      <formula>ISBLANK(M204)</formula>
    </cfRule>
  </conditionalFormatting>
  <conditionalFormatting sqref="N204">
    <cfRule type="containsText" dxfId="913" priority="612" operator="containsText" text="highlight">
      <formula>ISBLANK(N204)</formula>
    </cfRule>
  </conditionalFormatting>
  <conditionalFormatting sqref="G204">
    <cfRule type="containsText" dxfId="912" priority="613" operator="containsText" text="highlight">
      <formula>G204="Fail"</formula>
    </cfRule>
    <cfRule type="containsText" dxfId="911" priority="614" operator="containsText" text="highlight">
      <formula>G204="Pass"</formula>
    </cfRule>
  </conditionalFormatting>
  <conditionalFormatting sqref="M205">
    <cfRule type="containsText" dxfId="910" priority="615" operator="containsText" text="highlight">
      <formula>ISBLANK(M205)</formula>
    </cfRule>
  </conditionalFormatting>
  <conditionalFormatting sqref="N205">
    <cfRule type="containsText" dxfId="909" priority="616" operator="containsText" text="highlight">
      <formula>ISBLANK(N205)</formula>
    </cfRule>
  </conditionalFormatting>
  <conditionalFormatting sqref="G205">
    <cfRule type="containsText" dxfId="908" priority="617" operator="containsText" text="highlight">
      <formula>G205="Fail"</formula>
    </cfRule>
    <cfRule type="containsText" dxfId="907" priority="618" operator="containsText" text="highlight">
      <formula>G205="Pass"</formula>
    </cfRule>
  </conditionalFormatting>
  <conditionalFormatting sqref="M206">
    <cfRule type="containsText" dxfId="906" priority="619" operator="containsText" text="highlight">
      <formula>ISBLANK(M206)</formula>
    </cfRule>
  </conditionalFormatting>
  <conditionalFormatting sqref="N206">
    <cfRule type="containsText" dxfId="905" priority="620" operator="containsText" text="highlight">
      <formula>ISBLANK(N206)</formula>
    </cfRule>
  </conditionalFormatting>
  <conditionalFormatting sqref="G206">
    <cfRule type="containsText" dxfId="904" priority="621" operator="containsText" text="highlight">
      <formula>G206="Fail"</formula>
    </cfRule>
    <cfRule type="containsText" dxfId="903" priority="622" operator="containsText" text="highlight">
      <formula>G206="Pass"</formula>
    </cfRule>
  </conditionalFormatting>
  <conditionalFormatting sqref="M207">
    <cfRule type="containsText" dxfId="902" priority="623" operator="containsText" text="highlight">
      <formula>ISBLANK(M207)</formula>
    </cfRule>
  </conditionalFormatting>
  <conditionalFormatting sqref="N207">
    <cfRule type="containsText" dxfId="901" priority="624" operator="containsText" text="highlight">
      <formula>ISBLANK(N207)</formula>
    </cfRule>
  </conditionalFormatting>
  <conditionalFormatting sqref="G207">
    <cfRule type="containsText" dxfId="900" priority="625" operator="containsText" text="highlight">
      <formula>G207="Fail"</formula>
    </cfRule>
    <cfRule type="containsText" dxfId="899" priority="626" operator="containsText" text="highlight">
      <formula>G207="Pass"</formula>
    </cfRule>
  </conditionalFormatting>
  <conditionalFormatting sqref="M208">
    <cfRule type="containsText" dxfId="898" priority="627" operator="containsText" text="highlight">
      <formula>ISBLANK(M208)</formula>
    </cfRule>
  </conditionalFormatting>
  <conditionalFormatting sqref="N208">
    <cfRule type="containsText" dxfId="897" priority="628" operator="containsText" text="highlight">
      <formula>ISBLANK(N208)</formula>
    </cfRule>
  </conditionalFormatting>
  <conditionalFormatting sqref="G208">
    <cfRule type="containsText" dxfId="896" priority="629" operator="containsText" text="highlight">
      <formula>G208="Fail"</formula>
    </cfRule>
    <cfRule type="containsText" dxfId="895" priority="630" operator="containsText" text="highlight">
      <formula>G208="Pass"</formula>
    </cfRule>
  </conditionalFormatting>
  <conditionalFormatting sqref="M209">
    <cfRule type="containsText" dxfId="894" priority="631" operator="containsText" text="highlight">
      <formula>ISBLANK(M209)</formula>
    </cfRule>
  </conditionalFormatting>
  <conditionalFormatting sqref="N209">
    <cfRule type="containsText" dxfId="893" priority="632" operator="containsText" text="highlight">
      <formula>ISBLANK(N209)</formula>
    </cfRule>
  </conditionalFormatting>
  <conditionalFormatting sqref="G209">
    <cfRule type="containsText" dxfId="892" priority="633" operator="containsText" text="highlight">
      <formula>G209="Fail"</formula>
    </cfRule>
    <cfRule type="containsText" dxfId="891" priority="634" operator="containsText" text="highlight">
      <formula>G209="Pass"</formula>
    </cfRule>
  </conditionalFormatting>
  <conditionalFormatting sqref="M210">
    <cfRule type="containsText" dxfId="890" priority="635" operator="containsText" text="highlight">
      <formula>ISBLANK(M210)</formula>
    </cfRule>
  </conditionalFormatting>
  <conditionalFormatting sqref="N210">
    <cfRule type="containsText" dxfId="889" priority="636" operator="containsText" text="highlight">
      <formula>ISBLANK(N210)</formula>
    </cfRule>
  </conditionalFormatting>
  <conditionalFormatting sqref="G210">
    <cfRule type="containsText" dxfId="888" priority="637" operator="containsText" text="highlight">
      <formula>G210="Fail"</formula>
    </cfRule>
    <cfRule type="containsText" dxfId="887" priority="638" operator="containsText" text="highlight">
      <formula>G210="Pass"</formula>
    </cfRule>
  </conditionalFormatting>
  <conditionalFormatting sqref="M211">
    <cfRule type="containsText" dxfId="886" priority="639" operator="containsText" text="highlight">
      <formula>ISBLANK(M211)</formula>
    </cfRule>
  </conditionalFormatting>
  <conditionalFormatting sqref="N211">
    <cfRule type="containsText" dxfId="885" priority="640" operator="containsText" text="highlight">
      <formula>ISBLANK(N211)</formula>
    </cfRule>
  </conditionalFormatting>
  <conditionalFormatting sqref="G211">
    <cfRule type="containsText" dxfId="884" priority="641" operator="containsText" text="highlight">
      <formula>G211="Fail"</formula>
    </cfRule>
    <cfRule type="containsText" dxfId="883" priority="642" operator="containsText" text="highlight">
      <formula>G211="Pass"</formula>
    </cfRule>
  </conditionalFormatting>
  <conditionalFormatting sqref="M212">
    <cfRule type="containsText" dxfId="882" priority="643" operator="containsText" text="highlight">
      <formula>ISBLANK(M212)</formula>
    </cfRule>
  </conditionalFormatting>
  <conditionalFormatting sqref="N212">
    <cfRule type="containsText" dxfId="881" priority="644" operator="containsText" text="highlight">
      <formula>ISBLANK(N212)</formula>
    </cfRule>
  </conditionalFormatting>
  <conditionalFormatting sqref="G212">
    <cfRule type="containsText" dxfId="880" priority="645" operator="containsText" text="highlight">
      <formula>G212="Fail"</formula>
    </cfRule>
    <cfRule type="containsText" dxfId="879" priority="646" operator="containsText" text="highlight">
      <formula>G212="Pass"</formula>
    </cfRule>
  </conditionalFormatting>
  <conditionalFormatting sqref="M213">
    <cfRule type="containsText" dxfId="878" priority="647" operator="containsText" text="highlight">
      <formula>ISBLANK(M213)</formula>
    </cfRule>
  </conditionalFormatting>
  <conditionalFormatting sqref="N213">
    <cfRule type="containsText" dxfId="877" priority="648" operator="containsText" text="highlight">
      <formula>ISBLANK(N213)</formula>
    </cfRule>
  </conditionalFormatting>
  <conditionalFormatting sqref="G213">
    <cfRule type="containsText" dxfId="876" priority="649" operator="containsText" text="highlight">
      <formula>G213="Fail"</formula>
    </cfRule>
    <cfRule type="containsText" dxfId="875" priority="650" operator="containsText" text="highlight">
      <formula>G213="Pass"</formula>
    </cfRule>
  </conditionalFormatting>
  <conditionalFormatting sqref="M214">
    <cfRule type="containsText" dxfId="874" priority="651" operator="containsText" text="highlight">
      <formula>ISBLANK(M214)</formula>
    </cfRule>
  </conditionalFormatting>
  <conditionalFormatting sqref="N214">
    <cfRule type="containsText" dxfId="873" priority="652" operator="containsText" text="highlight">
      <formula>ISBLANK(N214)</formula>
    </cfRule>
  </conditionalFormatting>
  <conditionalFormatting sqref="G214">
    <cfRule type="containsText" dxfId="872" priority="653" operator="containsText" text="highlight">
      <formula>G214="Fail"</formula>
    </cfRule>
    <cfRule type="containsText" dxfId="871" priority="654" operator="containsText" text="highlight">
      <formula>G214="Pass"</formula>
    </cfRule>
  </conditionalFormatting>
  <conditionalFormatting sqref="M215">
    <cfRule type="containsText" dxfId="870" priority="655" operator="containsText" text="highlight">
      <formula>ISBLANK(M215)</formula>
    </cfRule>
  </conditionalFormatting>
  <conditionalFormatting sqref="N215">
    <cfRule type="containsText" dxfId="869" priority="656" operator="containsText" text="highlight">
      <formula>ISBLANK(N215)</formula>
    </cfRule>
  </conditionalFormatting>
  <conditionalFormatting sqref="G215">
    <cfRule type="containsText" dxfId="868" priority="657" operator="containsText" text="highlight">
      <formula>G215="Fail"</formula>
    </cfRule>
    <cfRule type="containsText" dxfId="867" priority="658" operator="containsText" text="highlight">
      <formula>G215="Pass"</formula>
    </cfRule>
  </conditionalFormatting>
  <conditionalFormatting sqref="M216">
    <cfRule type="containsText" dxfId="866" priority="659" operator="containsText" text="highlight">
      <formula>ISBLANK(M216)</formula>
    </cfRule>
  </conditionalFormatting>
  <conditionalFormatting sqref="N216">
    <cfRule type="containsText" dxfId="865" priority="660" operator="containsText" text="highlight">
      <formula>ISBLANK(N216)</formula>
    </cfRule>
  </conditionalFormatting>
  <conditionalFormatting sqref="G216">
    <cfRule type="containsText" dxfId="864" priority="661" operator="containsText" text="highlight">
      <formula>G216="Fail"</formula>
    </cfRule>
    <cfRule type="containsText" dxfId="863" priority="662" operator="containsText" text="highlight">
      <formula>G216="Pass"</formula>
    </cfRule>
  </conditionalFormatting>
  <conditionalFormatting sqref="M217">
    <cfRule type="containsText" dxfId="862" priority="663" operator="containsText" text="highlight">
      <formula>ISBLANK(M217)</formula>
    </cfRule>
  </conditionalFormatting>
  <conditionalFormatting sqref="N217">
    <cfRule type="containsText" dxfId="861" priority="664" operator="containsText" text="highlight">
      <formula>ISBLANK(N217)</formula>
    </cfRule>
  </conditionalFormatting>
  <conditionalFormatting sqref="G217">
    <cfRule type="containsText" dxfId="860" priority="665" operator="containsText" text="highlight">
      <formula>G217="Fail"</formula>
    </cfRule>
    <cfRule type="containsText" dxfId="859" priority="666" operator="containsText" text="highlight">
      <formula>G217="Pass"</formula>
    </cfRule>
  </conditionalFormatting>
  <conditionalFormatting sqref="M218">
    <cfRule type="containsText" dxfId="858" priority="667" operator="containsText" text="highlight">
      <formula>ISBLANK(M218)</formula>
    </cfRule>
  </conditionalFormatting>
  <conditionalFormatting sqref="N218">
    <cfRule type="containsText" dxfId="857" priority="668" operator="containsText" text="highlight">
      <formula>ISBLANK(N218)</formula>
    </cfRule>
  </conditionalFormatting>
  <conditionalFormatting sqref="G218">
    <cfRule type="containsText" dxfId="856" priority="669" operator="containsText" text="highlight">
      <formula>G218="Fail"</formula>
    </cfRule>
    <cfRule type="containsText" dxfId="855" priority="670" operator="containsText" text="highlight">
      <formula>G218="Pass"</formula>
    </cfRule>
  </conditionalFormatting>
  <conditionalFormatting sqref="M219">
    <cfRule type="containsText" dxfId="854" priority="671" operator="containsText" text="highlight">
      <formula>ISBLANK(M219)</formula>
    </cfRule>
  </conditionalFormatting>
  <conditionalFormatting sqref="N219">
    <cfRule type="containsText" dxfId="853" priority="672" operator="containsText" text="highlight">
      <formula>ISBLANK(N219)</formula>
    </cfRule>
  </conditionalFormatting>
  <conditionalFormatting sqref="G219">
    <cfRule type="containsText" dxfId="852" priority="673" operator="containsText" text="highlight">
      <formula>G219="Fail"</formula>
    </cfRule>
    <cfRule type="containsText" dxfId="851" priority="674" operator="containsText" text="highlight">
      <formula>G219="Pass"</formula>
    </cfRule>
  </conditionalFormatting>
  <conditionalFormatting sqref="M220">
    <cfRule type="containsText" dxfId="850" priority="675" operator="containsText" text="highlight">
      <formula>ISBLANK(M220)</formula>
    </cfRule>
  </conditionalFormatting>
  <conditionalFormatting sqref="N220">
    <cfRule type="containsText" dxfId="849" priority="676" operator="containsText" text="highlight">
      <formula>ISBLANK(N220)</formula>
    </cfRule>
  </conditionalFormatting>
  <conditionalFormatting sqref="G220">
    <cfRule type="containsText" dxfId="848" priority="677" operator="containsText" text="highlight">
      <formula>G220="Fail"</formula>
    </cfRule>
    <cfRule type="containsText" dxfId="847" priority="678" operator="containsText" text="highlight">
      <formula>G220="Pass"</formula>
    </cfRule>
  </conditionalFormatting>
  <conditionalFormatting sqref="M221">
    <cfRule type="containsText" dxfId="846" priority="679" operator="containsText" text="highlight">
      <formula>ISBLANK(M221)</formula>
    </cfRule>
  </conditionalFormatting>
  <conditionalFormatting sqref="N221">
    <cfRule type="containsText" dxfId="845" priority="680" operator="containsText" text="highlight">
      <formula>ISBLANK(N221)</formula>
    </cfRule>
  </conditionalFormatting>
  <conditionalFormatting sqref="G221">
    <cfRule type="containsText" dxfId="844" priority="681" operator="containsText" text="highlight">
      <formula>G221="Fail"</formula>
    </cfRule>
    <cfRule type="containsText" dxfId="843" priority="682" operator="containsText" text="highlight">
      <formula>G221="Pass"</formula>
    </cfRule>
  </conditionalFormatting>
  <conditionalFormatting sqref="M222">
    <cfRule type="containsText" dxfId="842" priority="683" operator="containsText" text="highlight">
      <formula>ISBLANK(M222)</formula>
    </cfRule>
  </conditionalFormatting>
  <conditionalFormatting sqref="N222">
    <cfRule type="containsText" dxfId="841" priority="684" operator="containsText" text="highlight">
      <formula>ISBLANK(N222)</formula>
    </cfRule>
  </conditionalFormatting>
  <conditionalFormatting sqref="G222">
    <cfRule type="containsText" dxfId="840" priority="685" operator="containsText" text="highlight">
      <formula>G222="Fail"</formula>
    </cfRule>
    <cfRule type="containsText" dxfId="839" priority="686" operator="containsText" text="highlight">
      <formula>G222="Pass"</formula>
    </cfRule>
  </conditionalFormatting>
  <conditionalFormatting sqref="M223">
    <cfRule type="containsText" dxfId="838" priority="687" operator="containsText" text="highlight">
      <formula>ISBLANK(M223)</formula>
    </cfRule>
  </conditionalFormatting>
  <conditionalFormatting sqref="N223">
    <cfRule type="containsText" dxfId="837" priority="688" operator="containsText" text="highlight">
      <formula>ISBLANK(N223)</formula>
    </cfRule>
  </conditionalFormatting>
  <conditionalFormatting sqref="G223">
    <cfRule type="containsText" dxfId="836" priority="689" operator="containsText" text="highlight">
      <formula>G223="Fail"</formula>
    </cfRule>
    <cfRule type="containsText" dxfId="835" priority="690" operator="containsText" text="highlight">
      <formula>G223="Pass"</formula>
    </cfRule>
  </conditionalFormatting>
  <conditionalFormatting sqref="M224">
    <cfRule type="containsText" dxfId="834" priority="691" operator="containsText" text="highlight">
      <formula>ISBLANK(M224)</formula>
    </cfRule>
  </conditionalFormatting>
  <conditionalFormatting sqref="N224">
    <cfRule type="containsText" dxfId="833" priority="692" operator="containsText" text="highlight">
      <formula>ISBLANK(N224)</formula>
    </cfRule>
  </conditionalFormatting>
  <conditionalFormatting sqref="G224">
    <cfRule type="containsText" dxfId="832" priority="693" operator="containsText" text="highlight">
      <formula>G224="Fail"</formula>
    </cfRule>
    <cfRule type="containsText" dxfId="831" priority="694" operator="containsText" text="highlight">
      <formula>G224="Pass"</formula>
    </cfRule>
  </conditionalFormatting>
  <conditionalFormatting sqref="M225">
    <cfRule type="containsText" dxfId="830" priority="695" operator="containsText" text="highlight">
      <formula>ISBLANK(M225)</formula>
    </cfRule>
  </conditionalFormatting>
  <conditionalFormatting sqref="N225">
    <cfRule type="containsText" dxfId="829" priority="696" operator="containsText" text="highlight">
      <formula>ISBLANK(N225)</formula>
    </cfRule>
  </conditionalFormatting>
  <conditionalFormatting sqref="G225">
    <cfRule type="containsText" dxfId="828" priority="697" operator="containsText" text="highlight">
      <formula>G225="Fail"</formula>
    </cfRule>
    <cfRule type="containsText" dxfId="827" priority="698" operator="containsText" text="highlight">
      <formula>G225="Pass"</formula>
    </cfRule>
  </conditionalFormatting>
  <conditionalFormatting sqref="M226">
    <cfRule type="containsText" dxfId="826" priority="699" operator="containsText" text="highlight">
      <formula>ISBLANK(M226)</formula>
    </cfRule>
  </conditionalFormatting>
  <conditionalFormatting sqref="N226">
    <cfRule type="containsText" dxfId="825" priority="700" operator="containsText" text="highlight">
      <formula>ISBLANK(N226)</formula>
    </cfRule>
  </conditionalFormatting>
  <conditionalFormatting sqref="G226">
    <cfRule type="containsText" dxfId="824" priority="701" operator="containsText" text="highlight">
      <formula>G226="Fail"</formula>
    </cfRule>
    <cfRule type="containsText" dxfId="823" priority="702" operator="containsText" text="highlight">
      <formula>G226="Pass"</formula>
    </cfRule>
  </conditionalFormatting>
  <conditionalFormatting sqref="M227">
    <cfRule type="containsText" dxfId="822" priority="703" operator="containsText" text="highlight">
      <formula>ISBLANK(M227)</formula>
    </cfRule>
  </conditionalFormatting>
  <conditionalFormatting sqref="N227">
    <cfRule type="containsText" dxfId="821" priority="704" operator="containsText" text="highlight">
      <formula>ISBLANK(N227)</formula>
    </cfRule>
  </conditionalFormatting>
  <conditionalFormatting sqref="G227">
    <cfRule type="containsText" dxfId="820" priority="705" operator="containsText" text="highlight">
      <formula>G227="Fail"</formula>
    </cfRule>
    <cfRule type="containsText" dxfId="819" priority="706" operator="containsText" text="highlight">
      <formula>G227="Pass"</formula>
    </cfRule>
  </conditionalFormatting>
  <conditionalFormatting sqref="M228">
    <cfRule type="containsText" dxfId="818" priority="707" operator="containsText" text="highlight">
      <formula>ISBLANK(M228)</formula>
    </cfRule>
  </conditionalFormatting>
  <conditionalFormatting sqref="N228">
    <cfRule type="containsText" dxfId="817" priority="708" operator="containsText" text="highlight">
      <formula>ISBLANK(N228)</formula>
    </cfRule>
  </conditionalFormatting>
  <conditionalFormatting sqref="G228">
    <cfRule type="containsText" dxfId="816" priority="709" operator="containsText" text="highlight">
      <formula>G228="Fail"</formula>
    </cfRule>
    <cfRule type="containsText" dxfId="815" priority="710" operator="containsText" text="highlight">
      <formula>G228="Pass"</formula>
    </cfRule>
  </conditionalFormatting>
  <conditionalFormatting sqref="M229">
    <cfRule type="containsText" dxfId="814" priority="711" operator="containsText" text="highlight">
      <formula>ISBLANK(M229)</formula>
    </cfRule>
  </conditionalFormatting>
  <conditionalFormatting sqref="N229">
    <cfRule type="containsText" dxfId="813" priority="712" operator="containsText" text="highlight">
      <formula>ISBLANK(N229)</formula>
    </cfRule>
  </conditionalFormatting>
  <conditionalFormatting sqref="G229">
    <cfRule type="containsText" dxfId="812" priority="713" operator="containsText" text="highlight">
      <formula>G229="Fail"</formula>
    </cfRule>
    <cfRule type="containsText" dxfId="811" priority="714" operator="containsText" text="highlight">
      <formula>G229="Pass"</formula>
    </cfRule>
  </conditionalFormatting>
  <conditionalFormatting sqref="E233">
    <cfRule type="containsText" dxfId="810" priority="715" operator="containsText" text="highlight">
      <formula>ISBLANK(E233)</formula>
    </cfRule>
  </conditionalFormatting>
  <conditionalFormatting sqref="H233">
    <cfRule type="containsText" dxfId="809" priority="716" operator="containsText" text="highlight">
      <formula>H233="Fail"</formula>
    </cfRule>
    <cfRule type="containsText" dxfId="808" priority="717" operator="containsText" text="highlight">
      <formula>H233="Pass"</formula>
    </cfRule>
  </conditionalFormatting>
  <conditionalFormatting sqref="E234">
    <cfRule type="containsText" dxfId="807" priority="718" operator="containsText" text="highlight">
      <formula>ISBLANK(E234)</formula>
    </cfRule>
  </conditionalFormatting>
  <conditionalFormatting sqref="H234">
    <cfRule type="containsText" dxfId="806" priority="719" operator="containsText" text="highlight">
      <formula>H234="Fail"</formula>
    </cfRule>
    <cfRule type="containsText" dxfId="805" priority="720" operator="containsText" text="highlight">
      <formula>H234="Pass"</formula>
    </cfRule>
  </conditionalFormatting>
  <conditionalFormatting sqref="E235">
    <cfRule type="containsText" dxfId="804" priority="721" operator="containsText" text="highlight">
      <formula>ISBLANK(E235)</formula>
    </cfRule>
  </conditionalFormatting>
  <conditionalFormatting sqref="H235">
    <cfRule type="containsText" dxfId="803" priority="722" operator="containsText" text="highlight">
      <formula>H235="Fail"</formula>
    </cfRule>
    <cfRule type="containsText" dxfId="802" priority="723" operator="containsText" text="highlight">
      <formula>H235="Pass"</formula>
    </cfRule>
  </conditionalFormatting>
  <conditionalFormatting sqref="E236">
    <cfRule type="containsText" dxfId="801" priority="724" operator="containsText" text="highlight">
      <formula>ISBLANK(E236)</formula>
    </cfRule>
  </conditionalFormatting>
  <conditionalFormatting sqref="H236">
    <cfRule type="containsText" dxfId="800" priority="725" operator="containsText" text="highlight">
      <formula>H236="Fail"</formula>
    </cfRule>
    <cfRule type="containsText" dxfId="799" priority="726" operator="containsText" text="highlight">
      <formula>H236="Pass"</formula>
    </cfRule>
  </conditionalFormatting>
  <conditionalFormatting sqref="E237">
    <cfRule type="containsText" dxfId="798" priority="727" operator="containsText" text="highlight">
      <formula>ISBLANK(E237)</formula>
    </cfRule>
  </conditionalFormatting>
  <conditionalFormatting sqref="H237">
    <cfRule type="containsText" dxfId="797" priority="728" operator="containsText" text="highlight">
      <formula>H237="Fail"</formula>
    </cfRule>
    <cfRule type="containsText" dxfId="796" priority="729" operator="containsText" text="highlight">
      <formula>H237="Pass"</formula>
    </cfRule>
  </conditionalFormatting>
  <conditionalFormatting sqref="E238">
    <cfRule type="containsText" dxfId="795" priority="730" operator="containsText" text="highlight">
      <formula>ISBLANK(E238)</formula>
    </cfRule>
  </conditionalFormatting>
  <conditionalFormatting sqref="H238">
    <cfRule type="containsText" dxfId="794" priority="731" operator="containsText" text="highlight">
      <formula>H238="Fail"</formula>
    </cfRule>
    <cfRule type="containsText" dxfId="793" priority="732" operator="containsText" text="highlight">
      <formula>H238="Pass"</formula>
    </cfRule>
  </conditionalFormatting>
  <conditionalFormatting sqref="E239">
    <cfRule type="containsText" dxfId="792" priority="733" operator="containsText" text="highlight">
      <formula>ISBLANK(E239)</formula>
    </cfRule>
  </conditionalFormatting>
  <conditionalFormatting sqref="H239">
    <cfRule type="containsText" dxfId="791" priority="734" operator="containsText" text="highlight">
      <formula>H239="Fail"</formula>
    </cfRule>
    <cfRule type="containsText" dxfId="790" priority="735" operator="containsText" text="highlight">
      <formula>H239="Pass"</formula>
    </cfRule>
  </conditionalFormatting>
  <conditionalFormatting sqref="E240">
    <cfRule type="containsText" dxfId="789" priority="736" operator="containsText" text="highlight">
      <formula>ISBLANK(E240)</formula>
    </cfRule>
  </conditionalFormatting>
  <conditionalFormatting sqref="H240">
    <cfRule type="containsText" dxfId="788" priority="737" operator="containsText" text="highlight">
      <formula>H240="Fail"</formula>
    </cfRule>
    <cfRule type="containsText" dxfId="787" priority="738" operator="containsText" text="highlight">
      <formula>H240="Pass"</formula>
    </cfRule>
  </conditionalFormatting>
  <conditionalFormatting sqref="E241">
    <cfRule type="containsText" dxfId="786" priority="739" operator="containsText" text="highlight">
      <formula>ISBLANK(E241)</formula>
    </cfRule>
  </conditionalFormatting>
  <conditionalFormatting sqref="H241">
    <cfRule type="containsText" dxfId="785" priority="740" operator="containsText" text="highlight">
      <formula>H241="Fail"</formula>
    </cfRule>
    <cfRule type="containsText" dxfId="784" priority="741" operator="containsText" text="highlight">
      <formula>H241="Pass"</formula>
    </cfRule>
  </conditionalFormatting>
  <conditionalFormatting sqref="E242">
    <cfRule type="containsText" dxfId="783" priority="742" operator="containsText" text="highlight">
      <formula>ISBLANK(E242)</formula>
    </cfRule>
  </conditionalFormatting>
  <conditionalFormatting sqref="H242">
    <cfRule type="containsText" dxfId="782" priority="743" operator="containsText" text="highlight">
      <formula>H242="Fail"</formula>
    </cfRule>
    <cfRule type="containsText" dxfId="781" priority="744" operator="containsText" text="highlight">
      <formula>H242="Pass"</formula>
    </cfRule>
  </conditionalFormatting>
  <conditionalFormatting sqref="E243">
    <cfRule type="containsText" dxfId="780" priority="745" operator="containsText" text="highlight">
      <formula>ISBLANK(E243)</formula>
    </cfRule>
  </conditionalFormatting>
  <conditionalFormatting sqref="H243">
    <cfRule type="containsText" dxfId="779" priority="746" operator="containsText" text="highlight">
      <formula>H243="Fail"</formula>
    </cfRule>
    <cfRule type="containsText" dxfId="778" priority="747" operator="containsText" text="highlight">
      <formula>H243="Pass"</formula>
    </cfRule>
  </conditionalFormatting>
  <conditionalFormatting sqref="E244">
    <cfRule type="containsText" dxfId="777" priority="748" operator="containsText" text="highlight">
      <formula>ISBLANK(E244)</formula>
    </cfRule>
  </conditionalFormatting>
  <conditionalFormatting sqref="H244">
    <cfRule type="containsText" dxfId="776" priority="749" operator="containsText" text="highlight">
      <formula>H244="Fail"</formula>
    </cfRule>
    <cfRule type="containsText" dxfId="775" priority="750" operator="containsText" text="highlight">
      <formula>H244="Pass"</formula>
    </cfRule>
  </conditionalFormatting>
  <conditionalFormatting sqref="E245">
    <cfRule type="containsText" dxfId="774" priority="751" operator="containsText" text="highlight">
      <formula>ISBLANK(E245)</formula>
    </cfRule>
  </conditionalFormatting>
  <conditionalFormatting sqref="H245">
    <cfRule type="containsText" dxfId="773" priority="752" operator="containsText" text="highlight">
      <formula>H245="Fail"</formula>
    </cfRule>
    <cfRule type="containsText" dxfId="772" priority="753" operator="containsText" text="highlight">
      <formula>H245="Pass"</formula>
    </cfRule>
  </conditionalFormatting>
  <conditionalFormatting sqref="E246">
    <cfRule type="containsText" dxfId="771" priority="754" operator="containsText" text="highlight">
      <formula>ISBLANK(E246)</formula>
    </cfRule>
  </conditionalFormatting>
  <conditionalFormatting sqref="H246">
    <cfRule type="containsText" dxfId="770" priority="755" operator="containsText" text="highlight">
      <formula>H246="Fail"</formula>
    </cfRule>
    <cfRule type="containsText" dxfId="769" priority="756" operator="containsText" text="highlight">
      <formula>H246="Pass"</formula>
    </cfRule>
  </conditionalFormatting>
  <conditionalFormatting sqref="E247">
    <cfRule type="containsText" dxfId="768" priority="757" operator="containsText" text="highlight">
      <formula>ISBLANK(E247)</formula>
    </cfRule>
  </conditionalFormatting>
  <conditionalFormatting sqref="H247">
    <cfRule type="containsText" dxfId="767" priority="758" operator="containsText" text="highlight">
      <formula>H247="Fail"</formula>
    </cfRule>
    <cfRule type="containsText" dxfId="766" priority="759" operator="containsText" text="highlight">
      <formula>H247="Pass"</formula>
    </cfRule>
  </conditionalFormatting>
  <conditionalFormatting sqref="E248">
    <cfRule type="containsText" dxfId="765" priority="760" operator="containsText" text="highlight">
      <formula>ISBLANK(E248)</formula>
    </cfRule>
  </conditionalFormatting>
  <conditionalFormatting sqref="H248">
    <cfRule type="containsText" dxfId="764" priority="761" operator="containsText" text="highlight">
      <formula>H248="Fail"</formula>
    </cfRule>
    <cfRule type="containsText" dxfId="763" priority="762" operator="containsText" text="highlight">
      <formula>H248="Pass"</formula>
    </cfRule>
  </conditionalFormatting>
  <conditionalFormatting sqref="E249">
    <cfRule type="containsText" dxfId="762" priority="763" operator="containsText" text="highlight">
      <formula>ISBLANK(E249)</formula>
    </cfRule>
  </conditionalFormatting>
  <conditionalFormatting sqref="H249">
    <cfRule type="containsText" dxfId="761" priority="764" operator="containsText" text="highlight">
      <formula>H249="Fail"</formula>
    </cfRule>
    <cfRule type="containsText" dxfId="760" priority="765" operator="containsText" text="highlight">
      <formula>H249="Pass"</formula>
    </cfRule>
  </conditionalFormatting>
  <conditionalFormatting sqref="E250">
    <cfRule type="containsText" dxfId="759" priority="766" operator="containsText" text="highlight">
      <formula>ISBLANK(E250)</formula>
    </cfRule>
  </conditionalFormatting>
  <conditionalFormatting sqref="H250">
    <cfRule type="containsText" dxfId="758" priority="767" operator="containsText" text="highlight">
      <formula>H250="Fail"</formula>
    </cfRule>
    <cfRule type="containsText" dxfId="757" priority="768" operator="containsText" text="highlight">
      <formula>H250="Pass"</formula>
    </cfRule>
  </conditionalFormatting>
  <conditionalFormatting sqref="E251">
    <cfRule type="containsText" dxfId="756" priority="769" operator="containsText" text="highlight">
      <formula>ISBLANK(E251)</formula>
    </cfRule>
  </conditionalFormatting>
  <conditionalFormatting sqref="H251">
    <cfRule type="containsText" dxfId="755" priority="770" operator="containsText" text="highlight">
      <formula>H251="Fail"</formula>
    </cfRule>
    <cfRule type="containsText" dxfId="754" priority="771" operator="containsText" text="highlight">
      <formula>H251="Pass"</formula>
    </cfRule>
  </conditionalFormatting>
  <conditionalFormatting sqref="E252">
    <cfRule type="containsText" dxfId="753" priority="772" operator="containsText" text="highlight">
      <formula>ISBLANK(E252)</formula>
    </cfRule>
  </conditionalFormatting>
  <conditionalFormatting sqref="H252">
    <cfRule type="containsText" dxfId="752" priority="773" operator="containsText" text="highlight">
      <formula>H252="Fail"</formula>
    </cfRule>
    <cfRule type="containsText" dxfId="751" priority="774" operator="containsText" text="highlight">
      <formula>H252="Pass"</formula>
    </cfRule>
  </conditionalFormatting>
  <conditionalFormatting sqref="E253">
    <cfRule type="containsText" dxfId="750" priority="775" operator="containsText" text="highlight">
      <formula>ISBLANK(E253)</formula>
    </cfRule>
  </conditionalFormatting>
  <conditionalFormatting sqref="H253">
    <cfRule type="containsText" dxfId="749" priority="776" operator="containsText" text="highlight">
      <formula>H253="Fail"</formula>
    </cfRule>
    <cfRule type="containsText" dxfId="748" priority="777" operator="containsText" text="highlight">
      <formula>H253="Pass"</formula>
    </cfRule>
  </conditionalFormatting>
  <conditionalFormatting sqref="E254">
    <cfRule type="containsText" dxfId="747" priority="778" operator="containsText" text="highlight">
      <formula>ISBLANK(E254)</formula>
    </cfRule>
  </conditionalFormatting>
  <conditionalFormatting sqref="H254">
    <cfRule type="containsText" dxfId="746" priority="779" operator="containsText" text="highlight">
      <formula>H254="Fail"</formula>
    </cfRule>
    <cfRule type="containsText" dxfId="745" priority="780" operator="containsText" text="highlight">
      <formula>H254="Pass"</formula>
    </cfRule>
  </conditionalFormatting>
  <conditionalFormatting sqref="E255">
    <cfRule type="containsText" dxfId="744" priority="781" operator="containsText" text="highlight">
      <formula>ISBLANK(E255)</formula>
    </cfRule>
  </conditionalFormatting>
  <conditionalFormatting sqref="H255">
    <cfRule type="containsText" dxfId="743" priority="782" operator="containsText" text="highlight">
      <formula>H255="Fail"</formula>
    </cfRule>
    <cfRule type="containsText" dxfId="742" priority="783" operator="containsText" text="highlight">
      <formula>H255="Pass"</formula>
    </cfRule>
  </conditionalFormatting>
  <conditionalFormatting sqref="E256">
    <cfRule type="containsText" dxfId="741" priority="784" operator="containsText" text="highlight">
      <formula>ISBLANK(E256)</formula>
    </cfRule>
  </conditionalFormatting>
  <conditionalFormatting sqref="H256">
    <cfRule type="containsText" dxfId="740" priority="785" operator="containsText" text="highlight">
      <formula>H256="Fail"</formula>
    </cfRule>
    <cfRule type="containsText" dxfId="739" priority="786" operator="containsText" text="highlight">
      <formula>H256="Pass"</formula>
    </cfRule>
  </conditionalFormatting>
  <conditionalFormatting sqref="E257">
    <cfRule type="containsText" dxfId="738" priority="787" operator="containsText" text="highlight">
      <formula>ISBLANK(E257)</formula>
    </cfRule>
  </conditionalFormatting>
  <conditionalFormatting sqref="H257">
    <cfRule type="containsText" dxfId="737" priority="788" operator="containsText" text="highlight">
      <formula>H257="Fail"</formula>
    </cfRule>
    <cfRule type="containsText" dxfId="736" priority="789" operator="containsText" text="highlight">
      <formula>H257="Pass"</formula>
    </cfRule>
  </conditionalFormatting>
  <conditionalFormatting sqref="E258">
    <cfRule type="containsText" dxfId="735" priority="790" operator="containsText" text="highlight">
      <formula>ISBLANK(E258)</formula>
    </cfRule>
  </conditionalFormatting>
  <conditionalFormatting sqref="H258">
    <cfRule type="containsText" dxfId="734" priority="791" operator="containsText" text="highlight">
      <formula>H258="Fail"</formula>
    </cfRule>
    <cfRule type="containsText" dxfId="733" priority="792" operator="containsText" text="highlight">
      <formula>H258="Pass"</formula>
    </cfRule>
  </conditionalFormatting>
  <conditionalFormatting sqref="E259">
    <cfRule type="containsText" dxfId="732" priority="793" operator="containsText" text="highlight">
      <formula>ISBLANK(E259)</formula>
    </cfRule>
  </conditionalFormatting>
  <conditionalFormatting sqref="H259">
    <cfRule type="containsText" dxfId="731" priority="794" operator="containsText" text="highlight">
      <formula>H259="Fail"</formula>
    </cfRule>
    <cfRule type="containsText" dxfId="730" priority="795" operator="containsText" text="highlight">
      <formula>H259="Pass"</formula>
    </cfRule>
  </conditionalFormatting>
  <conditionalFormatting sqref="E260">
    <cfRule type="containsText" dxfId="729" priority="796" operator="containsText" text="highlight">
      <formula>ISBLANK(E260)</formula>
    </cfRule>
  </conditionalFormatting>
  <conditionalFormatting sqref="H260">
    <cfRule type="containsText" dxfId="728" priority="797" operator="containsText" text="highlight">
      <formula>H260="Fail"</formula>
    </cfRule>
    <cfRule type="containsText" dxfId="727" priority="798" operator="containsText" text="highlight">
      <formula>H260="Pass"</formula>
    </cfRule>
  </conditionalFormatting>
  <conditionalFormatting sqref="E261">
    <cfRule type="containsText" dxfId="726" priority="799" operator="containsText" text="highlight">
      <formula>ISBLANK(E261)</formula>
    </cfRule>
  </conditionalFormatting>
  <conditionalFormatting sqref="H261">
    <cfRule type="containsText" dxfId="725" priority="800" operator="containsText" text="highlight">
      <formula>H261="Fail"</formula>
    </cfRule>
    <cfRule type="containsText" dxfId="724" priority="801" operator="containsText" text="highlight">
      <formula>H261="Pass"</formula>
    </cfRule>
  </conditionalFormatting>
  <conditionalFormatting sqref="E262">
    <cfRule type="containsText" dxfId="723" priority="802" operator="containsText" text="highlight">
      <formula>ISBLANK(E262)</formula>
    </cfRule>
  </conditionalFormatting>
  <conditionalFormatting sqref="H262">
    <cfRule type="containsText" dxfId="722" priority="803" operator="containsText" text="highlight">
      <formula>H262="Fail"</formula>
    </cfRule>
    <cfRule type="containsText" dxfId="721" priority="804" operator="containsText" text="highlight">
      <formula>H262="Pass"</formula>
    </cfRule>
  </conditionalFormatting>
  <conditionalFormatting sqref="E263">
    <cfRule type="containsText" dxfId="720" priority="805" operator="containsText" text="highlight">
      <formula>ISBLANK(E263)</formula>
    </cfRule>
  </conditionalFormatting>
  <conditionalFormatting sqref="H263">
    <cfRule type="containsText" dxfId="719" priority="806" operator="containsText" text="highlight">
      <formula>H263="Fail"</formula>
    </cfRule>
    <cfRule type="containsText" dxfId="718" priority="807" operator="containsText" text="highlight">
      <formula>H263="Pass"</formula>
    </cfRule>
  </conditionalFormatting>
  <conditionalFormatting sqref="E264">
    <cfRule type="containsText" dxfId="717" priority="808" operator="containsText" text="highlight">
      <formula>ISBLANK(E264)</formula>
    </cfRule>
  </conditionalFormatting>
  <conditionalFormatting sqref="H264">
    <cfRule type="containsText" dxfId="716" priority="809" operator="containsText" text="highlight">
      <formula>H264="Fail"</formula>
    </cfRule>
    <cfRule type="containsText" dxfId="715" priority="810" operator="containsText" text="highlight">
      <formula>H264="Pass"</formula>
    </cfRule>
  </conditionalFormatting>
  <conditionalFormatting sqref="E265">
    <cfRule type="containsText" dxfId="714" priority="811" operator="containsText" text="highlight">
      <formula>ISBLANK(E265)</formula>
    </cfRule>
  </conditionalFormatting>
  <conditionalFormatting sqref="H265">
    <cfRule type="containsText" dxfId="713" priority="812" operator="containsText" text="highlight">
      <formula>H265="Fail"</formula>
    </cfRule>
    <cfRule type="containsText" dxfId="712" priority="813" operator="containsText" text="highlight">
      <formula>H265="Pass"</formula>
    </cfRule>
  </conditionalFormatting>
  <conditionalFormatting sqref="E266">
    <cfRule type="containsText" dxfId="711" priority="814" operator="containsText" text="highlight">
      <formula>ISBLANK(E266)</formula>
    </cfRule>
  </conditionalFormatting>
  <conditionalFormatting sqref="H266">
    <cfRule type="containsText" dxfId="710" priority="815" operator="containsText" text="highlight">
      <formula>H266="Fail"</formula>
    </cfRule>
    <cfRule type="containsText" dxfId="709" priority="816" operator="containsText" text="highlight">
      <formula>H266="Pass"</formula>
    </cfRule>
  </conditionalFormatting>
  <conditionalFormatting sqref="E267">
    <cfRule type="containsText" dxfId="708" priority="817" operator="containsText" text="highlight">
      <formula>ISBLANK(E267)</formula>
    </cfRule>
  </conditionalFormatting>
  <conditionalFormatting sqref="H267">
    <cfRule type="containsText" dxfId="707" priority="818" operator="containsText" text="highlight">
      <formula>H267="Fail"</formula>
    </cfRule>
    <cfRule type="containsText" dxfId="706" priority="819" operator="containsText" text="highlight">
      <formula>H267="Pass"</formula>
    </cfRule>
  </conditionalFormatting>
  <conditionalFormatting sqref="E268">
    <cfRule type="containsText" dxfId="705" priority="820" operator="containsText" text="highlight">
      <formula>ISBLANK(E268)</formula>
    </cfRule>
  </conditionalFormatting>
  <conditionalFormatting sqref="H268">
    <cfRule type="containsText" dxfId="704" priority="821" operator="containsText" text="highlight">
      <formula>H268="Fail"</formula>
    </cfRule>
    <cfRule type="containsText" dxfId="703" priority="822" operator="containsText" text="highlight">
      <formula>H268="Pass"</formula>
    </cfRule>
  </conditionalFormatting>
  <conditionalFormatting sqref="E269">
    <cfRule type="containsText" dxfId="702" priority="823" operator="containsText" text="highlight">
      <formula>ISBLANK(E269)</formula>
    </cfRule>
  </conditionalFormatting>
  <conditionalFormatting sqref="H269">
    <cfRule type="containsText" dxfId="701" priority="824" operator="containsText" text="highlight">
      <formula>H269="Fail"</formula>
    </cfRule>
    <cfRule type="containsText" dxfId="700" priority="825" operator="containsText" text="highlight">
      <formula>H269="Pass"</formula>
    </cfRule>
  </conditionalFormatting>
  <conditionalFormatting sqref="E270">
    <cfRule type="containsText" dxfId="699" priority="826" operator="containsText" text="highlight">
      <formula>ISBLANK(E270)</formula>
    </cfRule>
  </conditionalFormatting>
  <conditionalFormatting sqref="H270">
    <cfRule type="containsText" dxfId="698" priority="827" operator="containsText" text="highlight">
      <formula>H270="Fail"</formula>
    </cfRule>
    <cfRule type="containsText" dxfId="697" priority="828" operator="containsText" text="highlight">
      <formula>H270="Pass"</formula>
    </cfRule>
  </conditionalFormatting>
  <conditionalFormatting sqref="E271">
    <cfRule type="containsText" dxfId="696" priority="829" operator="containsText" text="highlight">
      <formula>ISBLANK(E271)</formula>
    </cfRule>
  </conditionalFormatting>
  <conditionalFormatting sqref="H271">
    <cfRule type="containsText" dxfId="695" priority="830" operator="containsText" text="highlight">
      <formula>H271="Fail"</formula>
    </cfRule>
    <cfRule type="containsText" dxfId="694" priority="831" operator="containsText" text="highlight">
      <formula>H271="Pass"</formula>
    </cfRule>
  </conditionalFormatting>
  <conditionalFormatting sqref="E272">
    <cfRule type="containsText" dxfId="693" priority="832" operator="containsText" text="highlight">
      <formula>ISBLANK(E272)</formula>
    </cfRule>
  </conditionalFormatting>
  <conditionalFormatting sqref="H272">
    <cfRule type="containsText" dxfId="692" priority="833" operator="containsText" text="highlight">
      <formula>H272="Fail"</formula>
    </cfRule>
    <cfRule type="containsText" dxfId="691" priority="834" operator="containsText" text="highlight">
      <formula>H272="Pass"</formula>
    </cfRule>
  </conditionalFormatting>
  <conditionalFormatting sqref="E273">
    <cfRule type="containsText" dxfId="690" priority="835" operator="containsText" text="highlight">
      <formula>ISBLANK(E273)</formula>
    </cfRule>
  </conditionalFormatting>
  <conditionalFormatting sqref="H273">
    <cfRule type="containsText" dxfId="689" priority="836" operator="containsText" text="highlight">
      <formula>H273="Fail"</formula>
    </cfRule>
    <cfRule type="containsText" dxfId="688" priority="837" operator="containsText" text="highlight">
      <formula>H273="Pass"</formula>
    </cfRule>
  </conditionalFormatting>
  <conditionalFormatting sqref="E274">
    <cfRule type="containsText" dxfId="687" priority="838" operator="containsText" text="highlight">
      <formula>ISBLANK(E274)</formula>
    </cfRule>
  </conditionalFormatting>
  <conditionalFormatting sqref="H274">
    <cfRule type="containsText" dxfId="686" priority="839" operator="containsText" text="highlight">
      <formula>H274="Fail"</formula>
    </cfRule>
    <cfRule type="containsText" dxfId="685" priority="840" operator="containsText" text="highlight">
      <formula>H274="Pass"</formula>
    </cfRule>
  </conditionalFormatting>
  <conditionalFormatting sqref="E275">
    <cfRule type="containsText" dxfId="684" priority="841" operator="containsText" text="highlight">
      <formula>ISBLANK(E275)</formula>
    </cfRule>
  </conditionalFormatting>
  <conditionalFormatting sqref="H275">
    <cfRule type="containsText" dxfId="683" priority="842" operator="containsText" text="highlight">
      <formula>H275="Fail"</formula>
    </cfRule>
    <cfRule type="containsText" dxfId="682" priority="843" operator="containsText" text="highlight">
      <formula>H275="Pass"</formula>
    </cfRule>
  </conditionalFormatting>
  <conditionalFormatting sqref="E276">
    <cfRule type="containsText" dxfId="681" priority="844" operator="containsText" text="highlight">
      <formula>ISBLANK(E276)</formula>
    </cfRule>
  </conditionalFormatting>
  <conditionalFormatting sqref="H276">
    <cfRule type="containsText" dxfId="680" priority="845" operator="containsText" text="highlight">
      <formula>H276="Fail"</formula>
    </cfRule>
    <cfRule type="containsText" dxfId="679" priority="846" operator="containsText" text="highlight">
      <formula>H276="Pass"</formula>
    </cfRule>
  </conditionalFormatting>
  <conditionalFormatting sqref="E277">
    <cfRule type="containsText" dxfId="678" priority="847" operator="containsText" text="highlight">
      <formula>ISBLANK(E277)</formula>
    </cfRule>
  </conditionalFormatting>
  <conditionalFormatting sqref="H277">
    <cfRule type="containsText" dxfId="677" priority="848" operator="containsText" text="highlight">
      <formula>H277="Fail"</formula>
    </cfRule>
    <cfRule type="containsText" dxfId="676" priority="849" operator="containsText" text="highlight">
      <formula>H277="Pass"</formula>
    </cfRule>
  </conditionalFormatting>
  <conditionalFormatting sqref="E278">
    <cfRule type="containsText" dxfId="675" priority="850" operator="containsText" text="highlight">
      <formula>ISBLANK(E278)</formula>
    </cfRule>
  </conditionalFormatting>
  <conditionalFormatting sqref="H278">
    <cfRule type="containsText" dxfId="674" priority="851" operator="containsText" text="highlight">
      <formula>H278="Fail"</formula>
    </cfRule>
    <cfRule type="containsText" dxfId="673" priority="852" operator="containsText" text="highlight">
      <formula>H278="Pass"</formula>
    </cfRule>
  </conditionalFormatting>
  <conditionalFormatting sqref="E279">
    <cfRule type="containsText" dxfId="672" priority="853" operator="containsText" text="highlight">
      <formula>ISBLANK(E279)</formula>
    </cfRule>
  </conditionalFormatting>
  <conditionalFormatting sqref="H279">
    <cfRule type="containsText" dxfId="671" priority="854" operator="containsText" text="highlight">
      <formula>H279="Fail"</formula>
    </cfRule>
    <cfRule type="containsText" dxfId="670" priority="855" operator="containsText" text="highlight">
      <formula>H279="Pass"</formula>
    </cfRule>
  </conditionalFormatting>
  <conditionalFormatting sqref="E280">
    <cfRule type="containsText" dxfId="669" priority="856" operator="containsText" text="highlight">
      <formula>ISBLANK(E280)</formula>
    </cfRule>
  </conditionalFormatting>
  <conditionalFormatting sqref="H280">
    <cfRule type="containsText" dxfId="668" priority="857" operator="containsText" text="highlight">
      <formula>H280="Fail"</formula>
    </cfRule>
    <cfRule type="containsText" dxfId="667" priority="858" operator="containsText" text="highlight">
      <formula>H280="Pass"</formula>
    </cfRule>
  </conditionalFormatting>
  <conditionalFormatting sqref="E281">
    <cfRule type="containsText" dxfId="666" priority="859" operator="containsText" text="highlight">
      <formula>ISBLANK(E281)</formula>
    </cfRule>
  </conditionalFormatting>
  <conditionalFormatting sqref="H281">
    <cfRule type="containsText" dxfId="665" priority="860" operator="containsText" text="highlight">
      <formula>H281="Fail"</formula>
    </cfRule>
    <cfRule type="containsText" dxfId="664" priority="861" operator="containsText" text="highlight">
      <formula>H281="Pass"</formula>
    </cfRule>
  </conditionalFormatting>
  <conditionalFormatting sqref="E282">
    <cfRule type="containsText" dxfId="663" priority="862" operator="containsText" text="highlight">
      <formula>ISBLANK(E282)</formula>
    </cfRule>
  </conditionalFormatting>
  <conditionalFormatting sqref="H282">
    <cfRule type="containsText" dxfId="662" priority="863" operator="containsText" text="highlight">
      <formula>H282="Fail"</formula>
    </cfRule>
    <cfRule type="containsText" dxfId="661" priority="864" operator="containsText" text="highlight">
      <formula>H282="Pass"</formula>
    </cfRule>
  </conditionalFormatting>
  <conditionalFormatting sqref="E283">
    <cfRule type="containsText" dxfId="660" priority="865" operator="containsText" text="highlight">
      <formula>ISBLANK(E283)</formula>
    </cfRule>
  </conditionalFormatting>
  <conditionalFormatting sqref="H283">
    <cfRule type="containsText" dxfId="659" priority="866" operator="containsText" text="highlight">
      <formula>H283="Fail"</formula>
    </cfRule>
    <cfRule type="containsText" dxfId="658" priority="867" operator="containsText" text="highlight">
      <formula>H283="Pass"</formula>
    </cfRule>
  </conditionalFormatting>
  <conditionalFormatting sqref="E284">
    <cfRule type="containsText" dxfId="657" priority="868" operator="containsText" text="highlight">
      <formula>ISBLANK(E284)</formula>
    </cfRule>
  </conditionalFormatting>
  <conditionalFormatting sqref="H284">
    <cfRule type="containsText" dxfId="656" priority="869" operator="containsText" text="highlight">
      <formula>H284="Fail"</formula>
    </cfRule>
    <cfRule type="containsText" dxfId="655" priority="870" operator="containsText" text="highlight">
      <formula>H284="Pass"</formula>
    </cfRule>
  </conditionalFormatting>
  <conditionalFormatting sqref="E285">
    <cfRule type="containsText" dxfId="654" priority="871" operator="containsText" text="highlight">
      <formula>ISBLANK(E285)</formula>
    </cfRule>
  </conditionalFormatting>
  <conditionalFormatting sqref="H285">
    <cfRule type="containsText" dxfId="653" priority="872" operator="containsText" text="highlight">
      <formula>H285="Fail"</formula>
    </cfRule>
    <cfRule type="containsText" dxfId="652" priority="873" operator="containsText" text="highlight">
      <formula>H285="Pass"</formula>
    </cfRule>
  </conditionalFormatting>
  <conditionalFormatting sqref="E286">
    <cfRule type="containsText" dxfId="651" priority="874" operator="containsText" text="highlight">
      <formula>ISBLANK(E286)</formula>
    </cfRule>
  </conditionalFormatting>
  <conditionalFormatting sqref="H286">
    <cfRule type="containsText" dxfId="650" priority="875" operator="containsText" text="highlight">
      <formula>H286="Fail"</formula>
    </cfRule>
    <cfRule type="containsText" dxfId="649" priority="876" operator="containsText" text="highlight">
      <formula>H286="Pass"</formula>
    </cfRule>
  </conditionalFormatting>
  <conditionalFormatting sqref="E287">
    <cfRule type="containsText" dxfId="648" priority="877" operator="containsText" text="highlight">
      <formula>ISBLANK(E287)</formula>
    </cfRule>
  </conditionalFormatting>
  <conditionalFormatting sqref="H287">
    <cfRule type="containsText" dxfId="647" priority="878" operator="containsText" text="highlight">
      <formula>H287="Fail"</formula>
    </cfRule>
    <cfRule type="containsText" dxfId="646" priority="879" operator="containsText" text="highlight">
      <formula>H287="Pass"</formula>
    </cfRule>
  </conditionalFormatting>
  <conditionalFormatting sqref="E288">
    <cfRule type="containsText" dxfId="645" priority="880" operator="containsText" text="highlight">
      <formula>ISBLANK(E288)</formula>
    </cfRule>
  </conditionalFormatting>
  <conditionalFormatting sqref="H288">
    <cfRule type="containsText" dxfId="644" priority="881" operator="containsText" text="highlight">
      <formula>H288="Fail"</formula>
    </cfRule>
    <cfRule type="containsText" dxfId="643" priority="882" operator="containsText" text="highlight">
      <formula>H288="Pass"</formula>
    </cfRule>
  </conditionalFormatting>
  <conditionalFormatting sqref="C292">
    <cfRule type="containsText" dxfId="642" priority="883" operator="containsText" text="highlight">
      <formula>ISBLANK(C292)</formula>
    </cfRule>
  </conditionalFormatting>
  <conditionalFormatting sqref="D292">
    <cfRule type="containsText" dxfId="641" priority="884" operator="containsText" text="highlight">
      <formula>ISBLANK(D292)</formula>
    </cfRule>
  </conditionalFormatting>
  <conditionalFormatting sqref="H292">
    <cfRule type="containsText" dxfId="640" priority="885" operator="containsText" text="highlight">
      <formula>H292="Fail"</formula>
    </cfRule>
    <cfRule type="containsText" dxfId="639" priority="886" operator="containsText" text="highlight">
      <formula>H292="Pass"</formula>
    </cfRule>
  </conditionalFormatting>
  <conditionalFormatting sqref="C293">
    <cfRule type="containsText" dxfId="638" priority="887" operator="containsText" text="highlight">
      <formula>ISBLANK(C293)</formula>
    </cfRule>
  </conditionalFormatting>
  <conditionalFormatting sqref="D293">
    <cfRule type="containsText" dxfId="637" priority="888" operator="containsText" text="highlight">
      <formula>ISBLANK(D293)</formula>
    </cfRule>
  </conditionalFormatting>
  <conditionalFormatting sqref="H293">
    <cfRule type="containsText" dxfId="636" priority="889" operator="containsText" text="highlight">
      <formula>H293="Fail"</formula>
    </cfRule>
    <cfRule type="containsText" dxfId="635" priority="890" operator="containsText" text="highlight">
      <formula>H293="Pass"</formula>
    </cfRule>
  </conditionalFormatting>
  <conditionalFormatting sqref="C294">
    <cfRule type="containsText" dxfId="634" priority="891" operator="containsText" text="highlight">
      <formula>ISBLANK(C294)</formula>
    </cfRule>
  </conditionalFormatting>
  <conditionalFormatting sqref="D294">
    <cfRule type="containsText" dxfId="633" priority="892" operator="containsText" text="highlight">
      <formula>ISBLANK(D294)</formula>
    </cfRule>
  </conditionalFormatting>
  <conditionalFormatting sqref="H294">
    <cfRule type="containsText" dxfId="632" priority="893" operator="containsText" text="highlight">
      <formula>H294="Fail"</formula>
    </cfRule>
    <cfRule type="containsText" dxfId="631" priority="894" operator="containsText" text="highlight">
      <formula>H294="Pass"</formula>
    </cfRule>
  </conditionalFormatting>
  <conditionalFormatting sqref="C295">
    <cfRule type="containsText" dxfId="630" priority="895" operator="containsText" text="highlight">
      <formula>ISBLANK(C295)</formula>
    </cfRule>
  </conditionalFormatting>
  <conditionalFormatting sqref="D295">
    <cfRule type="containsText" dxfId="629" priority="896" operator="containsText" text="highlight">
      <formula>ISBLANK(D295)</formula>
    </cfRule>
  </conditionalFormatting>
  <conditionalFormatting sqref="H295">
    <cfRule type="containsText" dxfId="628" priority="897" operator="containsText" text="highlight">
      <formula>H295="Fail"</formula>
    </cfRule>
    <cfRule type="containsText" dxfId="627" priority="898" operator="containsText" text="highlight">
      <formula>H295="Pass"</formula>
    </cfRule>
  </conditionalFormatting>
  <conditionalFormatting sqref="D299">
    <cfRule type="containsText" dxfId="626" priority="899" operator="containsText" text="highlight">
      <formula>ISBLANK(D299)</formula>
    </cfRule>
  </conditionalFormatting>
  <conditionalFormatting sqref="G299">
    <cfRule type="containsText" dxfId="625" priority="900" operator="containsText" text="highlight">
      <formula>G299="Fail"</formula>
    </cfRule>
    <cfRule type="containsText" dxfId="624" priority="901" operator="containsText" text="highlight">
      <formula>G299="Pass"</formula>
    </cfRule>
  </conditionalFormatting>
  <conditionalFormatting sqref="D300">
    <cfRule type="containsText" dxfId="623" priority="902" operator="containsText" text="highlight">
      <formula>ISBLANK(D300)</formula>
    </cfRule>
  </conditionalFormatting>
  <conditionalFormatting sqref="G300">
    <cfRule type="containsText" dxfId="622" priority="903" operator="containsText" text="highlight">
      <formula>G300="Fail"</formula>
    </cfRule>
    <cfRule type="containsText" dxfId="621" priority="904" operator="containsText" text="highlight">
      <formula>G300="Pass"</formula>
    </cfRule>
  </conditionalFormatting>
  <conditionalFormatting sqref="D301">
    <cfRule type="containsText" dxfId="620" priority="905" operator="containsText" text="highlight">
      <formula>ISBLANK(D301)</formula>
    </cfRule>
  </conditionalFormatting>
  <conditionalFormatting sqref="G301">
    <cfRule type="containsText" dxfId="619" priority="906" operator="containsText" text="highlight">
      <formula>G301="Fail"</formula>
    </cfRule>
    <cfRule type="containsText" dxfId="618" priority="907" operator="containsText" text="highlight">
      <formula>G301="Pass"</formula>
    </cfRule>
  </conditionalFormatting>
  <conditionalFormatting sqref="D302">
    <cfRule type="containsText" dxfId="617" priority="908" operator="containsText" text="highlight">
      <formula>ISBLANK(D302)</formula>
    </cfRule>
  </conditionalFormatting>
  <conditionalFormatting sqref="G302">
    <cfRule type="containsText" dxfId="616" priority="909" operator="containsText" text="highlight">
      <formula>G302="Fail"</formula>
    </cfRule>
    <cfRule type="containsText" dxfId="615" priority="910" operator="containsText" text="highlight">
      <formula>G302="Pass"</formula>
    </cfRule>
  </conditionalFormatting>
  <conditionalFormatting sqref="D303">
    <cfRule type="containsText" dxfId="614" priority="911" operator="containsText" text="highlight">
      <formula>ISBLANK(D303)</formula>
    </cfRule>
  </conditionalFormatting>
  <conditionalFormatting sqref="G303">
    <cfRule type="containsText" dxfId="613" priority="912" operator="containsText" text="highlight">
      <formula>G303="Fail"</formula>
    </cfRule>
    <cfRule type="containsText" dxfId="612" priority="913" operator="containsText" text="highlight">
      <formula>G303="Pass"</formula>
    </cfRule>
  </conditionalFormatting>
  <conditionalFormatting sqref="D304">
    <cfRule type="containsText" dxfId="611" priority="914" operator="containsText" text="highlight">
      <formula>ISBLANK(D304)</formula>
    </cfRule>
  </conditionalFormatting>
  <conditionalFormatting sqref="G304">
    <cfRule type="containsText" dxfId="610" priority="915" operator="containsText" text="highlight">
      <formula>G304="Fail"</formula>
    </cfRule>
    <cfRule type="containsText" dxfId="609" priority="916" operator="containsText" text="highlight">
      <formula>G304="Pass"</formula>
    </cfRule>
  </conditionalFormatting>
  <conditionalFormatting sqref="D305">
    <cfRule type="containsText" dxfId="608" priority="917" operator="containsText" text="highlight">
      <formula>ISBLANK(D305)</formula>
    </cfRule>
  </conditionalFormatting>
  <conditionalFormatting sqref="G305">
    <cfRule type="containsText" dxfId="607" priority="918" operator="containsText" text="highlight">
      <formula>G305="Fail"</formula>
    </cfRule>
    <cfRule type="containsText" dxfId="606" priority="919" operator="containsText" text="highlight">
      <formula>G305="Pass"</formula>
    </cfRule>
  </conditionalFormatting>
  <conditionalFormatting sqref="D306">
    <cfRule type="containsText" dxfId="605" priority="920" operator="containsText" text="highlight">
      <formula>ISBLANK(D306)</formula>
    </cfRule>
  </conditionalFormatting>
  <conditionalFormatting sqref="G306">
    <cfRule type="containsText" dxfId="604" priority="921" operator="containsText" text="highlight">
      <formula>G306="Fail"</formula>
    </cfRule>
    <cfRule type="containsText" dxfId="603" priority="922" operator="containsText" text="highlight">
      <formula>G306="Pass"</formula>
    </cfRule>
  </conditionalFormatting>
  <conditionalFormatting sqref="D307">
    <cfRule type="containsText" dxfId="602" priority="923" operator="containsText" text="highlight">
      <formula>ISBLANK(D307)</formula>
    </cfRule>
  </conditionalFormatting>
  <conditionalFormatting sqref="G307">
    <cfRule type="containsText" dxfId="601" priority="924" operator="containsText" text="highlight">
      <formula>G307="Fail"</formula>
    </cfRule>
    <cfRule type="containsText" dxfId="600" priority="925" operator="containsText" text="highlight">
      <formula>G307="Pass"</formula>
    </cfRule>
  </conditionalFormatting>
  <conditionalFormatting sqref="D308">
    <cfRule type="containsText" dxfId="599" priority="926" operator="containsText" text="highlight">
      <formula>ISBLANK(D308)</formula>
    </cfRule>
  </conditionalFormatting>
  <conditionalFormatting sqref="G308">
    <cfRule type="containsText" dxfId="598" priority="927" operator="containsText" text="highlight">
      <formula>G308="Fail"</formula>
    </cfRule>
    <cfRule type="containsText" dxfId="597" priority="928" operator="containsText" text="highlight">
      <formula>G308="Pass"</formula>
    </cfRule>
  </conditionalFormatting>
  <conditionalFormatting sqref="D309">
    <cfRule type="containsText" dxfId="596" priority="929" operator="containsText" text="highlight">
      <formula>ISBLANK(D309)</formula>
    </cfRule>
  </conditionalFormatting>
  <conditionalFormatting sqref="G309">
    <cfRule type="containsText" dxfId="595" priority="930" operator="containsText" text="highlight">
      <formula>G309="Fail"</formula>
    </cfRule>
    <cfRule type="containsText" dxfId="594" priority="931" operator="containsText" text="highlight">
      <formula>G309="Pass"</formula>
    </cfRule>
  </conditionalFormatting>
  <conditionalFormatting sqref="D310">
    <cfRule type="containsText" dxfId="593" priority="932" operator="containsText" text="highlight">
      <formula>ISBLANK(D310)</formula>
    </cfRule>
  </conditionalFormatting>
  <conditionalFormatting sqref="G310">
    <cfRule type="containsText" dxfId="592" priority="933" operator="containsText" text="highlight">
      <formula>G310="Fail"</formula>
    </cfRule>
    <cfRule type="containsText" dxfId="591" priority="934" operator="containsText" text="highlight">
      <formula>G310="Pass"</formula>
    </cfRule>
  </conditionalFormatting>
  <conditionalFormatting sqref="D311">
    <cfRule type="containsText" dxfId="590" priority="935" operator="containsText" text="highlight">
      <formula>ISBLANK(D311)</formula>
    </cfRule>
  </conditionalFormatting>
  <conditionalFormatting sqref="G311">
    <cfRule type="containsText" dxfId="589" priority="936" operator="containsText" text="highlight">
      <formula>G311="Fail"</formula>
    </cfRule>
    <cfRule type="containsText" dxfId="588" priority="937" operator="containsText" text="highlight">
      <formula>G311="Pass"</formula>
    </cfRule>
  </conditionalFormatting>
  <conditionalFormatting sqref="D312">
    <cfRule type="containsText" dxfId="587" priority="938" operator="containsText" text="highlight">
      <formula>ISBLANK(D312)</formula>
    </cfRule>
  </conditionalFormatting>
  <conditionalFormatting sqref="G312">
    <cfRule type="containsText" dxfId="586" priority="939" operator="containsText" text="highlight">
      <formula>G312="Fail"</formula>
    </cfRule>
    <cfRule type="containsText" dxfId="585" priority="940" operator="containsText" text="highlight">
      <formula>G312="Pass"</formula>
    </cfRule>
  </conditionalFormatting>
  <conditionalFormatting sqref="D313">
    <cfRule type="containsText" dxfId="584" priority="941" operator="containsText" text="highlight">
      <formula>ISBLANK(D313)</formula>
    </cfRule>
  </conditionalFormatting>
  <conditionalFormatting sqref="G313">
    <cfRule type="containsText" dxfId="583" priority="942" operator="containsText" text="highlight">
      <formula>G313="Fail"</formula>
    </cfRule>
    <cfRule type="containsText" dxfId="582" priority="943" operator="containsText" text="highlight">
      <formula>G313="Pass"</formula>
    </cfRule>
  </conditionalFormatting>
  <conditionalFormatting sqref="D314">
    <cfRule type="containsText" dxfId="581" priority="944" operator="containsText" text="highlight">
      <formula>ISBLANK(D314)</formula>
    </cfRule>
  </conditionalFormatting>
  <conditionalFormatting sqref="G314">
    <cfRule type="containsText" dxfId="580" priority="945" operator="containsText" text="highlight">
      <formula>G314="Fail"</formula>
    </cfRule>
    <cfRule type="containsText" dxfId="579" priority="946" operator="containsText" text="highlight">
      <formula>G314="Pass"</formula>
    </cfRule>
  </conditionalFormatting>
  <conditionalFormatting sqref="D315">
    <cfRule type="containsText" dxfId="578" priority="947" operator="containsText" text="highlight">
      <formula>ISBLANK(D315)</formula>
    </cfRule>
  </conditionalFormatting>
  <conditionalFormatting sqref="G315">
    <cfRule type="containsText" dxfId="577" priority="948" operator="containsText" text="highlight">
      <formula>G315="Fail"</formula>
    </cfRule>
    <cfRule type="containsText" dxfId="576" priority="949" operator="containsText" text="highlight">
      <formula>G315="Pass"</formula>
    </cfRule>
  </conditionalFormatting>
  <conditionalFormatting sqref="D316">
    <cfRule type="containsText" dxfId="575" priority="950" operator="containsText" text="highlight">
      <formula>ISBLANK(D316)</formula>
    </cfRule>
  </conditionalFormatting>
  <conditionalFormatting sqref="G316">
    <cfRule type="containsText" dxfId="574" priority="951" operator="containsText" text="highlight">
      <formula>G316="Fail"</formula>
    </cfRule>
    <cfRule type="containsText" dxfId="573" priority="952" operator="containsText" text="highlight">
      <formula>G316="Pass"</formula>
    </cfRule>
  </conditionalFormatting>
  <conditionalFormatting sqref="D317">
    <cfRule type="containsText" dxfId="572" priority="953" operator="containsText" text="highlight">
      <formula>ISBLANK(D317)</formula>
    </cfRule>
  </conditionalFormatting>
  <conditionalFormatting sqref="G317">
    <cfRule type="containsText" dxfId="571" priority="954" operator="containsText" text="highlight">
      <formula>G317="Fail"</formula>
    </cfRule>
    <cfRule type="containsText" dxfId="570" priority="955" operator="containsText" text="highlight">
      <formula>G317="Pass"</formula>
    </cfRule>
  </conditionalFormatting>
  <conditionalFormatting sqref="D318">
    <cfRule type="containsText" dxfId="569" priority="956" operator="containsText" text="highlight">
      <formula>ISBLANK(D318)</formula>
    </cfRule>
  </conditionalFormatting>
  <conditionalFormatting sqref="G318">
    <cfRule type="containsText" dxfId="568" priority="957" operator="containsText" text="highlight">
      <formula>G318="Fail"</formula>
    </cfRule>
    <cfRule type="containsText" dxfId="567" priority="958" operator="containsText" text="highlight">
      <formula>G318="Pass"</formula>
    </cfRule>
  </conditionalFormatting>
  <conditionalFormatting sqref="D319">
    <cfRule type="containsText" dxfId="566" priority="959" operator="containsText" text="highlight">
      <formula>ISBLANK(D319)</formula>
    </cfRule>
  </conditionalFormatting>
  <conditionalFormatting sqref="G319">
    <cfRule type="containsText" dxfId="565" priority="960" operator="containsText" text="highlight">
      <formula>G319="Fail"</formula>
    </cfRule>
    <cfRule type="containsText" dxfId="564" priority="961" operator="containsText" text="highlight">
      <formula>G319="Pass"</formula>
    </cfRule>
  </conditionalFormatting>
  <conditionalFormatting sqref="D320">
    <cfRule type="containsText" dxfId="563" priority="962" operator="containsText" text="highlight">
      <formula>ISBLANK(D320)</formula>
    </cfRule>
  </conditionalFormatting>
  <conditionalFormatting sqref="G320">
    <cfRule type="containsText" dxfId="562" priority="963" operator="containsText" text="highlight">
      <formula>G320="Fail"</formula>
    </cfRule>
    <cfRule type="containsText" dxfId="561" priority="964" operator="containsText" text="highlight">
      <formula>G320="Pass"</formula>
    </cfRule>
  </conditionalFormatting>
  <conditionalFormatting sqref="D321">
    <cfRule type="containsText" dxfId="560" priority="965" operator="containsText" text="highlight">
      <formula>ISBLANK(D321)</formula>
    </cfRule>
  </conditionalFormatting>
  <conditionalFormatting sqref="G321">
    <cfRule type="containsText" dxfId="559" priority="966" operator="containsText" text="highlight">
      <formula>G321="Fail"</formula>
    </cfRule>
    <cfRule type="containsText" dxfId="558" priority="967" operator="containsText" text="highlight">
      <formula>G321="Pass"</formula>
    </cfRule>
  </conditionalFormatting>
  <conditionalFormatting sqref="D322">
    <cfRule type="containsText" dxfId="557" priority="968" operator="containsText" text="highlight">
      <formula>ISBLANK(D322)</formula>
    </cfRule>
  </conditionalFormatting>
  <conditionalFormatting sqref="G322">
    <cfRule type="containsText" dxfId="556" priority="969" operator="containsText" text="highlight">
      <formula>G322="Fail"</formula>
    </cfRule>
    <cfRule type="containsText" dxfId="555" priority="970" operator="containsText" text="highlight">
      <formula>G322="Pass"</formula>
    </cfRule>
  </conditionalFormatting>
  <conditionalFormatting sqref="C326">
    <cfRule type="containsText" dxfId="554" priority="971" operator="containsText" text="highlight">
      <formula>ISBLANK(C326)</formula>
    </cfRule>
  </conditionalFormatting>
  <conditionalFormatting sqref="F326">
    <cfRule type="containsText" dxfId="553" priority="972" operator="containsText" text="highlight">
      <formula>F326="Fail"</formula>
    </cfRule>
    <cfRule type="containsText" dxfId="552" priority="973" operator="containsText" text="highlight">
      <formula>F326="Pass"</formula>
    </cfRule>
  </conditionalFormatting>
  <conditionalFormatting sqref="D330">
    <cfRule type="containsText" dxfId="551" priority="974" operator="containsText" text="highlight">
      <formula>ISBLANK(D330)</formula>
    </cfRule>
  </conditionalFormatting>
  <conditionalFormatting sqref="G330">
    <cfRule type="containsText" dxfId="550" priority="975" operator="containsText" text="highlight">
      <formula>G330="Fail"</formula>
    </cfRule>
    <cfRule type="containsText" dxfId="549" priority="976" operator="containsText" text="highlight">
      <formula>G330="Pass"</formula>
    </cfRule>
  </conditionalFormatting>
  <conditionalFormatting sqref="D331">
    <cfRule type="containsText" dxfId="548" priority="977" operator="containsText" text="highlight">
      <formula>ISBLANK(D331)</formula>
    </cfRule>
  </conditionalFormatting>
  <conditionalFormatting sqref="G331">
    <cfRule type="containsText" dxfId="547" priority="978" operator="containsText" text="highlight">
      <formula>G331="Fail"</formula>
    </cfRule>
    <cfRule type="containsText" dxfId="546" priority="979" operator="containsText" text="highlight">
      <formula>G331="Pass"</formula>
    </cfRule>
  </conditionalFormatting>
  <conditionalFormatting sqref="D332">
    <cfRule type="containsText" dxfId="545" priority="980" operator="containsText" text="highlight">
      <formula>ISBLANK(D332)</formula>
    </cfRule>
  </conditionalFormatting>
  <conditionalFormatting sqref="G332">
    <cfRule type="containsText" dxfId="544" priority="981" operator="containsText" text="highlight">
      <formula>G332="Fail"</formula>
    </cfRule>
    <cfRule type="containsText" dxfId="543" priority="982" operator="containsText" text="highlight">
      <formula>G332="Pass"</formula>
    </cfRule>
  </conditionalFormatting>
  <conditionalFormatting sqref="D333">
    <cfRule type="containsText" dxfId="542" priority="983" operator="containsText" text="highlight">
      <formula>ISBLANK(D333)</formula>
    </cfRule>
  </conditionalFormatting>
  <conditionalFormatting sqref="G333">
    <cfRule type="containsText" dxfId="541" priority="984" operator="containsText" text="highlight">
      <formula>G333="Fail"</formula>
    </cfRule>
    <cfRule type="containsText" dxfId="540" priority="985" operator="containsText" text="highlight">
      <formula>G333="Pass"</formula>
    </cfRule>
  </conditionalFormatting>
  <conditionalFormatting sqref="D334">
    <cfRule type="containsText" dxfId="539" priority="986" operator="containsText" text="highlight">
      <formula>ISBLANK(D334)</formula>
    </cfRule>
  </conditionalFormatting>
  <conditionalFormatting sqref="G334">
    <cfRule type="containsText" dxfId="538" priority="987" operator="containsText" text="highlight">
      <formula>G334="Fail"</formula>
    </cfRule>
    <cfRule type="containsText" dxfId="537" priority="988" operator="containsText" text="highlight">
      <formula>G334="Pass"</formula>
    </cfRule>
  </conditionalFormatting>
  <conditionalFormatting sqref="D335">
    <cfRule type="containsText" dxfId="536" priority="989" operator="containsText" text="highlight">
      <formula>ISBLANK(D335)</formula>
    </cfRule>
  </conditionalFormatting>
  <conditionalFormatting sqref="G335">
    <cfRule type="containsText" dxfId="535" priority="990" operator="containsText" text="highlight">
      <formula>G335="Fail"</formula>
    </cfRule>
    <cfRule type="containsText" dxfId="534" priority="991" operator="containsText" text="highlight">
      <formula>G335="Pass"</formula>
    </cfRule>
  </conditionalFormatting>
  <conditionalFormatting sqref="D336">
    <cfRule type="containsText" dxfId="533" priority="992" operator="containsText" text="highlight">
      <formula>ISBLANK(D336)</formula>
    </cfRule>
  </conditionalFormatting>
  <conditionalFormatting sqref="G336">
    <cfRule type="containsText" dxfId="532" priority="993" operator="containsText" text="highlight">
      <formula>G336="Fail"</formula>
    </cfRule>
    <cfRule type="containsText" dxfId="531" priority="994" operator="containsText" text="highlight">
      <formula>G336="Pass"</formula>
    </cfRule>
  </conditionalFormatting>
  <conditionalFormatting sqref="D337">
    <cfRule type="containsText" dxfId="530" priority="995" operator="containsText" text="highlight">
      <formula>ISBLANK(D337)</formula>
    </cfRule>
  </conditionalFormatting>
  <conditionalFormatting sqref="G337">
    <cfRule type="containsText" dxfId="529" priority="996" operator="containsText" text="highlight">
      <formula>G337="Fail"</formula>
    </cfRule>
    <cfRule type="containsText" dxfId="528" priority="997" operator="containsText" text="highlight">
      <formula>G337="Pass"</formula>
    </cfRule>
  </conditionalFormatting>
  <conditionalFormatting sqref="D338">
    <cfRule type="containsText" dxfId="527" priority="998" operator="containsText" text="highlight">
      <formula>ISBLANK(D338)</formula>
    </cfRule>
  </conditionalFormatting>
  <conditionalFormatting sqref="G338">
    <cfRule type="containsText" dxfId="526" priority="999" operator="containsText" text="highlight">
      <formula>G338="Fail"</formula>
    </cfRule>
    <cfRule type="containsText" dxfId="525" priority="1000" operator="containsText" text="highlight">
      <formula>G338="Pass"</formula>
    </cfRule>
  </conditionalFormatting>
  <conditionalFormatting sqref="D339">
    <cfRule type="containsText" dxfId="524" priority="1001" operator="containsText" text="highlight">
      <formula>ISBLANK(D339)</formula>
    </cfRule>
  </conditionalFormatting>
  <conditionalFormatting sqref="G339">
    <cfRule type="containsText" dxfId="523" priority="1002" operator="containsText" text="highlight">
      <formula>G339="Fail"</formula>
    </cfRule>
    <cfRule type="containsText" dxfId="522" priority="1003" operator="containsText" text="highlight">
      <formula>G339="Pass"</formula>
    </cfRule>
  </conditionalFormatting>
  <conditionalFormatting sqref="D340">
    <cfRule type="containsText" dxfId="521" priority="1004" operator="containsText" text="highlight">
      <formula>ISBLANK(D340)</formula>
    </cfRule>
  </conditionalFormatting>
  <conditionalFormatting sqref="G340">
    <cfRule type="containsText" dxfId="520" priority="1005" operator="containsText" text="highlight">
      <formula>G340="Fail"</formula>
    </cfRule>
    <cfRule type="containsText" dxfId="519" priority="1006" operator="containsText" text="highlight">
      <formula>G340="Pass"</formula>
    </cfRule>
  </conditionalFormatting>
  <conditionalFormatting sqref="D341">
    <cfRule type="containsText" dxfId="518" priority="1007" operator="containsText" text="highlight">
      <formula>ISBLANK(D341)</formula>
    </cfRule>
  </conditionalFormatting>
  <conditionalFormatting sqref="G341">
    <cfRule type="containsText" dxfId="517" priority="1008" operator="containsText" text="highlight">
      <formula>G341="Fail"</formula>
    </cfRule>
    <cfRule type="containsText" dxfId="516" priority="1009" operator="containsText" text="highlight">
      <formula>G341="Pass"</formula>
    </cfRule>
  </conditionalFormatting>
  <conditionalFormatting sqref="D342">
    <cfRule type="containsText" dxfId="515" priority="1010" operator="containsText" text="highlight">
      <formula>ISBLANK(D342)</formula>
    </cfRule>
  </conditionalFormatting>
  <conditionalFormatting sqref="G342">
    <cfRule type="containsText" dxfId="514" priority="1011" operator="containsText" text="highlight">
      <formula>G342="Fail"</formula>
    </cfRule>
    <cfRule type="containsText" dxfId="513" priority="1012" operator="containsText" text="highlight">
      <formula>G342="Pass"</formula>
    </cfRule>
  </conditionalFormatting>
  <conditionalFormatting sqref="D343">
    <cfRule type="containsText" dxfId="512" priority="1013" operator="containsText" text="highlight">
      <formula>ISBLANK(D343)</formula>
    </cfRule>
  </conditionalFormatting>
  <conditionalFormatting sqref="G343">
    <cfRule type="containsText" dxfId="511" priority="1014" operator="containsText" text="highlight">
      <formula>G343="Fail"</formula>
    </cfRule>
    <cfRule type="containsText" dxfId="510" priority="1015" operator="containsText" text="highlight">
      <formula>G343="Pass"</formula>
    </cfRule>
  </conditionalFormatting>
  <conditionalFormatting sqref="D344">
    <cfRule type="containsText" dxfId="509" priority="1016" operator="containsText" text="highlight">
      <formula>ISBLANK(D344)</formula>
    </cfRule>
  </conditionalFormatting>
  <conditionalFormatting sqref="G344">
    <cfRule type="containsText" dxfId="508" priority="1017" operator="containsText" text="highlight">
      <formula>G344="Fail"</formula>
    </cfRule>
    <cfRule type="containsText" dxfId="507" priority="1018" operator="containsText" text="highlight">
      <formula>G344="Pass"</formula>
    </cfRule>
  </conditionalFormatting>
  <conditionalFormatting sqref="D345">
    <cfRule type="containsText" dxfId="506" priority="1019" operator="containsText" text="highlight">
      <formula>ISBLANK(D345)</formula>
    </cfRule>
  </conditionalFormatting>
  <conditionalFormatting sqref="G345">
    <cfRule type="containsText" dxfId="505" priority="1020" operator="containsText" text="highlight">
      <formula>G345="Fail"</formula>
    </cfRule>
    <cfRule type="containsText" dxfId="504" priority="1021" operator="containsText" text="highlight">
      <formula>G345="Pass"</formula>
    </cfRule>
  </conditionalFormatting>
  <conditionalFormatting sqref="D346">
    <cfRule type="containsText" dxfId="503" priority="1022" operator="containsText" text="highlight">
      <formula>ISBLANK(D346)</formula>
    </cfRule>
  </conditionalFormatting>
  <conditionalFormatting sqref="G346">
    <cfRule type="containsText" dxfId="502" priority="1023" operator="containsText" text="highlight">
      <formula>G346="Fail"</formula>
    </cfRule>
    <cfRule type="containsText" dxfId="501" priority="1024" operator="containsText" text="highlight">
      <formula>G346="Pass"</formula>
    </cfRule>
  </conditionalFormatting>
  <conditionalFormatting sqref="D347">
    <cfRule type="containsText" dxfId="500" priority="1025" operator="containsText" text="highlight">
      <formula>ISBLANK(D347)</formula>
    </cfRule>
  </conditionalFormatting>
  <conditionalFormatting sqref="G347">
    <cfRule type="containsText" dxfId="499" priority="1026" operator="containsText" text="highlight">
      <formula>G347="Fail"</formula>
    </cfRule>
    <cfRule type="containsText" dxfId="498" priority="1027" operator="containsText" text="highlight">
      <formula>G347="Pass"</formula>
    </cfRule>
  </conditionalFormatting>
  <conditionalFormatting sqref="D348">
    <cfRule type="containsText" dxfId="497" priority="1028" operator="containsText" text="highlight">
      <formula>ISBLANK(D348)</formula>
    </cfRule>
  </conditionalFormatting>
  <conditionalFormatting sqref="G348">
    <cfRule type="containsText" dxfId="496" priority="1029" operator="containsText" text="highlight">
      <formula>G348="Fail"</formula>
    </cfRule>
    <cfRule type="containsText" dxfId="495" priority="1030" operator="containsText" text="highlight">
      <formula>G348="Pass"</formula>
    </cfRule>
  </conditionalFormatting>
  <conditionalFormatting sqref="D349">
    <cfRule type="containsText" dxfId="494" priority="1031" operator="containsText" text="highlight">
      <formula>ISBLANK(D349)</formula>
    </cfRule>
  </conditionalFormatting>
  <conditionalFormatting sqref="G349">
    <cfRule type="containsText" dxfId="493" priority="1032" operator="containsText" text="highlight">
      <formula>G349="Fail"</formula>
    </cfRule>
    <cfRule type="containsText" dxfId="492" priority="1033" operator="containsText" text="highlight">
      <formula>G349="Pass"</formula>
    </cfRule>
  </conditionalFormatting>
  <conditionalFormatting sqref="D350">
    <cfRule type="containsText" dxfId="491" priority="1034" operator="containsText" text="highlight">
      <formula>ISBLANK(D350)</formula>
    </cfRule>
  </conditionalFormatting>
  <conditionalFormatting sqref="G350">
    <cfRule type="containsText" dxfId="490" priority="1035" operator="containsText" text="highlight">
      <formula>G350="Fail"</formula>
    </cfRule>
    <cfRule type="containsText" dxfId="489" priority="1036" operator="containsText" text="highlight">
      <formula>G350="Pass"</formula>
    </cfRule>
  </conditionalFormatting>
  <conditionalFormatting sqref="D351">
    <cfRule type="containsText" dxfId="488" priority="1037" operator="containsText" text="highlight">
      <formula>ISBLANK(D351)</formula>
    </cfRule>
  </conditionalFormatting>
  <conditionalFormatting sqref="G351">
    <cfRule type="containsText" dxfId="487" priority="1038" operator="containsText" text="highlight">
      <formula>G351="Fail"</formula>
    </cfRule>
    <cfRule type="containsText" dxfId="486" priority="1039" operator="containsText" text="highlight">
      <formula>G351="Pass"</formula>
    </cfRule>
  </conditionalFormatting>
  <conditionalFormatting sqref="D352">
    <cfRule type="containsText" dxfId="485" priority="1040" operator="containsText" text="highlight">
      <formula>ISBLANK(D352)</formula>
    </cfRule>
  </conditionalFormatting>
  <conditionalFormatting sqref="G352">
    <cfRule type="containsText" dxfId="484" priority="1041" operator="containsText" text="highlight">
      <formula>G352="Fail"</formula>
    </cfRule>
    <cfRule type="containsText" dxfId="483" priority="1042" operator="containsText" text="highlight">
      <formula>G352="Pass"</formula>
    </cfRule>
  </conditionalFormatting>
  <conditionalFormatting sqref="D353">
    <cfRule type="containsText" dxfId="482" priority="1043" operator="containsText" text="highlight">
      <formula>ISBLANK(D353)</formula>
    </cfRule>
  </conditionalFormatting>
  <conditionalFormatting sqref="G353">
    <cfRule type="containsText" dxfId="481" priority="1044" operator="containsText" text="highlight">
      <formula>G353="Fail"</formula>
    </cfRule>
    <cfRule type="containsText" dxfId="480" priority="1045" operator="containsText" text="highlight">
      <formula>G353="Pass"</formula>
    </cfRule>
  </conditionalFormatting>
  <conditionalFormatting sqref="D354">
    <cfRule type="containsText" dxfId="479" priority="1046" operator="containsText" text="highlight">
      <formula>ISBLANK(D354)</formula>
    </cfRule>
  </conditionalFormatting>
  <conditionalFormatting sqref="G354">
    <cfRule type="containsText" dxfId="478" priority="1047" operator="containsText" text="highlight">
      <formula>G354="Fail"</formula>
    </cfRule>
    <cfRule type="containsText" dxfId="477" priority="1048" operator="containsText" text="highlight">
      <formula>G354="Pass"</formula>
    </cfRule>
  </conditionalFormatting>
  <conditionalFormatting sqref="D355">
    <cfRule type="containsText" dxfId="476" priority="1049" operator="containsText" text="highlight">
      <formula>ISBLANK(D355)</formula>
    </cfRule>
  </conditionalFormatting>
  <conditionalFormatting sqref="G355">
    <cfRule type="containsText" dxfId="475" priority="1050" operator="containsText" text="highlight">
      <formula>G355="Fail"</formula>
    </cfRule>
    <cfRule type="containsText" dxfId="474" priority="1051" operator="containsText" text="highlight">
      <formula>G355="Pass"</formula>
    </cfRule>
  </conditionalFormatting>
  <conditionalFormatting sqref="D356">
    <cfRule type="containsText" dxfId="473" priority="1052" operator="containsText" text="highlight">
      <formula>ISBLANK(D356)</formula>
    </cfRule>
  </conditionalFormatting>
  <conditionalFormatting sqref="G356">
    <cfRule type="containsText" dxfId="472" priority="1053" operator="containsText" text="highlight">
      <formula>G356="Fail"</formula>
    </cfRule>
    <cfRule type="containsText" dxfId="471" priority="1054" operator="containsText" text="highlight">
      <formula>G356="Pass"</formula>
    </cfRule>
  </conditionalFormatting>
  <conditionalFormatting sqref="D357">
    <cfRule type="containsText" dxfId="470" priority="1055" operator="containsText" text="highlight">
      <formula>ISBLANK(D357)</formula>
    </cfRule>
  </conditionalFormatting>
  <conditionalFormatting sqref="G357">
    <cfRule type="containsText" dxfId="469" priority="1056" operator="containsText" text="highlight">
      <formula>G357="Fail"</formula>
    </cfRule>
    <cfRule type="containsText" dxfId="468" priority="1057" operator="containsText" text="highlight">
      <formula>G357="Pass"</formula>
    </cfRule>
  </conditionalFormatting>
  <conditionalFormatting sqref="D358">
    <cfRule type="containsText" dxfId="467" priority="1058" operator="containsText" text="highlight">
      <formula>ISBLANK(D358)</formula>
    </cfRule>
  </conditionalFormatting>
  <conditionalFormatting sqref="G358">
    <cfRule type="containsText" dxfId="466" priority="1059" operator="containsText" text="highlight">
      <formula>G358="Fail"</formula>
    </cfRule>
    <cfRule type="containsText" dxfId="465" priority="1060" operator="containsText" text="highlight">
      <formula>G358="Pass"</formula>
    </cfRule>
  </conditionalFormatting>
  <conditionalFormatting sqref="D359">
    <cfRule type="containsText" dxfId="464" priority="1061" operator="containsText" text="highlight">
      <formula>ISBLANK(D359)</formula>
    </cfRule>
  </conditionalFormatting>
  <conditionalFormatting sqref="G359">
    <cfRule type="containsText" dxfId="463" priority="1062" operator="containsText" text="highlight">
      <formula>G359="Fail"</formula>
    </cfRule>
    <cfRule type="containsText" dxfId="462" priority="1063" operator="containsText" text="highlight">
      <formula>G359="Pass"</formula>
    </cfRule>
  </conditionalFormatting>
  <conditionalFormatting sqref="D360">
    <cfRule type="containsText" dxfId="461" priority="1064" operator="containsText" text="highlight">
      <formula>ISBLANK(D360)</formula>
    </cfRule>
  </conditionalFormatting>
  <conditionalFormatting sqref="G360">
    <cfRule type="containsText" dxfId="460" priority="1065" operator="containsText" text="highlight">
      <formula>G360="Fail"</formula>
    </cfRule>
    <cfRule type="containsText" dxfId="459" priority="1066" operator="containsText" text="highlight">
      <formula>G360="Pass"</formula>
    </cfRule>
  </conditionalFormatting>
  <conditionalFormatting sqref="D361">
    <cfRule type="containsText" dxfId="458" priority="1067" operator="containsText" text="highlight">
      <formula>ISBLANK(D361)</formula>
    </cfRule>
  </conditionalFormatting>
  <conditionalFormatting sqref="G361">
    <cfRule type="containsText" dxfId="457" priority="1068" operator="containsText" text="highlight">
      <formula>G361="Fail"</formula>
    </cfRule>
    <cfRule type="containsText" dxfId="456" priority="1069" operator="containsText" text="highlight">
      <formula>G361="Pass"</formula>
    </cfRule>
  </conditionalFormatting>
  <conditionalFormatting sqref="D362">
    <cfRule type="containsText" dxfId="455" priority="1070" operator="containsText" text="highlight">
      <formula>ISBLANK(D362)</formula>
    </cfRule>
  </conditionalFormatting>
  <conditionalFormatting sqref="G362">
    <cfRule type="containsText" dxfId="454" priority="1071" operator="containsText" text="highlight">
      <formula>G362="Fail"</formula>
    </cfRule>
    <cfRule type="containsText" dxfId="453" priority="1072" operator="containsText" text="highlight">
      <formula>G362="Pass"</formula>
    </cfRule>
  </conditionalFormatting>
  <conditionalFormatting sqref="D363">
    <cfRule type="containsText" dxfId="452" priority="1073" operator="containsText" text="highlight">
      <formula>ISBLANK(D363)</formula>
    </cfRule>
  </conditionalFormatting>
  <conditionalFormatting sqref="G363">
    <cfRule type="containsText" dxfId="451" priority="1074" operator="containsText" text="highlight">
      <formula>G363="Fail"</formula>
    </cfRule>
    <cfRule type="containsText" dxfId="450" priority="1075" operator="containsText" text="highlight">
      <formula>G363="Pass"</formula>
    </cfRule>
  </conditionalFormatting>
  <conditionalFormatting sqref="D364">
    <cfRule type="containsText" dxfId="449" priority="1076" operator="containsText" text="highlight">
      <formula>ISBLANK(D364)</formula>
    </cfRule>
  </conditionalFormatting>
  <conditionalFormatting sqref="G364">
    <cfRule type="containsText" dxfId="448" priority="1077" operator="containsText" text="highlight">
      <formula>G364="Fail"</formula>
    </cfRule>
    <cfRule type="containsText" dxfId="447" priority="1078" operator="containsText" text="highlight">
      <formula>G364="Pass"</formula>
    </cfRule>
  </conditionalFormatting>
  <conditionalFormatting sqref="D365">
    <cfRule type="containsText" dxfId="446" priority="1079" operator="containsText" text="highlight">
      <formula>ISBLANK(D365)</formula>
    </cfRule>
  </conditionalFormatting>
  <conditionalFormatting sqref="G365">
    <cfRule type="containsText" dxfId="445" priority="1080" operator="containsText" text="highlight">
      <formula>G365="Fail"</formula>
    </cfRule>
    <cfRule type="containsText" dxfId="444" priority="1081" operator="containsText" text="highlight">
      <formula>G365="Pass"</formula>
    </cfRule>
  </conditionalFormatting>
  <conditionalFormatting sqref="D366">
    <cfRule type="containsText" dxfId="443" priority="1082" operator="containsText" text="highlight">
      <formula>ISBLANK(D366)</formula>
    </cfRule>
  </conditionalFormatting>
  <conditionalFormatting sqref="G366">
    <cfRule type="containsText" dxfId="442" priority="1083" operator="containsText" text="highlight">
      <formula>G366="Fail"</formula>
    </cfRule>
    <cfRule type="containsText" dxfId="441" priority="1084" operator="containsText" text="highlight">
      <formula>G366="Pass"</formula>
    </cfRule>
  </conditionalFormatting>
  <conditionalFormatting sqref="D367">
    <cfRule type="containsText" dxfId="440" priority="1085" operator="containsText" text="highlight">
      <formula>ISBLANK(D367)</formula>
    </cfRule>
  </conditionalFormatting>
  <conditionalFormatting sqref="G367">
    <cfRule type="containsText" dxfId="439" priority="1086" operator="containsText" text="highlight">
      <formula>G367="Fail"</formula>
    </cfRule>
    <cfRule type="containsText" dxfId="438" priority="1087" operator="containsText" text="highlight">
      <formula>G367="Pass"</formula>
    </cfRule>
  </conditionalFormatting>
  <conditionalFormatting sqref="D368">
    <cfRule type="containsText" dxfId="437" priority="1088" operator="containsText" text="highlight">
      <formula>ISBLANK(D368)</formula>
    </cfRule>
  </conditionalFormatting>
  <conditionalFormatting sqref="G368">
    <cfRule type="containsText" dxfId="436" priority="1089" operator="containsText" text="highlight">
      <formula>G368="Fail"</formula>
    </cfRule>
    <cfRule type="containsText" dxfId="435" priority="1090" operator="containsText" text="highlight">
      <formula>G368="Pass"</formula>
    </cfRule>
  </conditionalFormatting>
  <conditionalFormatting sqref="D369">
    <cfRule type="containsText" dxfId="434" priority="1091" operator="containsText" text="highlight">
      <formula>ISBLANK(D369)</formula>
    </cfRule>
  </conditionalFormatting>
  <conditionalFormatting sqref="G369">
    <cfRule type="containsText" dxfId="433" priority="1092" operator="containsText" text="highlight">
      <formula>G369="Fail"</formula>
    </cfRule>
    <cfRule type="containsText" dxfId="432" priority="1093" operator="containsText" text="highlight">
      <formula>G369="Pass"</formula>
    </cfRule>
  </conditionalFormatting>
  <conditionalFormatting sqref="D370">
    <cfRule type="containsText" dxfId="431" priority="1094" operator="containsText" text="highlight">
      <formula>ISBLANK(D370)</formula>
    </cfRule>
  </conditionalFormatting>
  <conditionalFormatting sqref="G370">
    <cfRule type="containsText" dxfId="430" priority="1095" operator="containsText" text="highlight">
      <formula>G370="Fail"</formula>
    </cfRule>
    <cfRule type="containsText" dxfId="429" priority="1096" operator="containsText" text="highlight">
      <formula>G370="Pass"</formula>
    </cfRule>
  </conditionalFormatting>
  <conditionalFormatting sqref="D371">
    <cfRule type="containsText" dxfId="428" priority="1097" operator="containsText" text="highlight">
      <formula>ISBLANK(D371)</formula>
    </cfRule>
  </conditionalFormatting>
  <conditionalFormatting sqref="G371">
    <cfRule type="containsText" dxfId="427" priority="1098" operator="containsText" text="highlight">
      <formula>G371="Fail"</formula>
    </cfRule>
    <cfRule type="containsText" dxfId="426" priority="1099" operator="containsText" text="highlight">
      <formula>G371="Pass"</formula>
    </cfRule>
  </conditionalFormatting>
  <conditionalFormatting sqref="D372">
    <cfRule type="containsText" dxfId="425" priority="1100" operator="containsText" text="highlight">
      <formula>ISBLANK(D372)</formula>
    </cfRule>
  </conditionalFormatting>
  <conditionalFormatting sqref="G372">
    <cfRule type="containsText" dxfId="424" priority="1101" operator="containsText" text="highlight">
      <formula>G372="Fail"</formula>
    </cfRule>
    <cfRule type="containsText" dxfId="423" priority="1102" operator="containsText" text="highlight">
      <formula>G372="Pass"</formula>
    </cfRule>
  </conditionalFormatting>
  <conditionalFormatting sqref="D373">
    <cfRule type="containsText" dxfId="422" priority="1103" operator="containsText" text="highlight">
      <formula>ISBLANK(D373)</formula>
    </cfRule>
  </conditionalFormatting>
  <conditionalFormatting sqref="G373">
    <cfRule type="containsText" dxfId="421" priority="1104" operator="containsText" text="highlight">
      <formula>G373="Fail"</formula>
    </cfRule>
    <cfRule type="containsText" dxfId="420" priority="1105" operator="containsText" text="highlight">
      <formula>G373="Pass"</formula>
    </cfRule>
  </conditionalFormatting>
  <conditionalFormatting sqref="D374">
    <cfRule type="containsText" dxfId="419" priority="1106" operator="containsText" text="highlight">
      <formula>ISBLANK(D374)</formula>
    </cfRule>
  </conditionalFormatting>
  <conditionalFormatting sqref="G374">
    <cfRule type="containsText" dxfId="418" priority="1107" operator="containsText" text="highlight">
      <formula>G374="Fail"</formula>
    </cfRule>
    <cfRule type="containsText" dxfId="417" priority="1108" operator="containsText" text="highlight">
      <formula>G374="Pass"</formula>
    </cfRule>
  </conditionalFormatting>
  <conditionalFormatting sqref="D375">
    <cfRule type="containsText" dxfId="416" priority="1109" operator="containsText" text="highlight">
      <formula>ISBLANK(D375)</formula>
    </cfRule>
  </conditionalFormatting>
  <conditionalFormatting sqref="G375">
    <cfRule type="containsText" dxfId="415" priority="1110" operator="containsText" text="highlight">
      <formula>G375="Fail"</formula>
    </cfRule>
    <cfRule type="containsText" dxfId="414" priority="1111" operator="containsText" text="highlight">
      <formula>G375="Pass"</formula>
    </cfRule>
  </conditionalFormatting>
  <conditionalFormatting sqref="D376">
    <cfRule type="containsText" dxfId="413" priority="1112" operator="containsText" text="highlight">
      <formula>ISBLANK(D376)</formula>
    </cfRule>
  </conditionalFormatting>
  <conditionalFormatting sqref="G376">
    <cfRule type="containsText" dxfId="412" priority="1113" operator="containsText" text="highlight">
      <formula>G376="Fail"</formula>
    </cfRule>
    <cfRule type="containsText" dxfId="411" priority="1114" operator="containsText" text="highlight">
      <formula>G376="Pass"</formula>
    </cfRule>
  </conditionalFormatting>
  <conditionalFormatting sqref="D377">
    <cfRule type="containsText" dxfId="410" priority="1115" operator="containsText" text="highlight">
      <formula>ISBLANK(D377)</formula>
    </cfRule>
  </conditionalFormatting>
  <conditionalFormatting sqref="G377">
    <cfRule type="containsText" dxfId="409" priority="1116" operator="containsText" text="highlight">
      <formula>G377="Fail"</formula>
    </cfRule>
    <cfRule type="containsText" dxfId="408" priority="1117" operator="containsText" text="highlight">
      <formula>G377="Pass"</formula>
    </cfRule>
  </conditionalFormatting>
  <conditionalFormatting sqref="D378">
    <cfRule type="containsText" dxfId="407" priority="1118" operator="containsText" text="highlight">
      <formula>ISBLANK(D378)</formula>
    </cfRule>
  </conditionalFormatting>
  <conditionalFormatting sqref="G378">
    <cfRule type="containsText" dxfId="406" priority="1119" operator="containsText" text="highlight">
      <formula>G378="Fail"</formula>
    </cfRule>
    <cfRule type="containsText" dxfId="405" priority="1120" operator="containsText" text="highlight">
      <formula>G378="Pass"</formula>
    </cfRule>
  </conditionalFormatting>
  <conditionalFormatting sqref="D379">
    <cfRule type="containsText" dxfId="404" priority="1121" operator="containsText" text="highlight">
      <formula>ISBLANK(D379)</formula>
    </cfRule>
  </conditionalFormatting>
  <conditionalFormatting sqref="G379">
    <cfRule type="containsText" dxfId="403" priority="1122" operator="containsText" text="highlight">
      <formula>G379="Fail"</formula>
    </cfRule>
    <cfRule type="containsText" dxfId="402" priority="1123" operator="containsText" text="highlight">
      <formula>G379="Pass"</formula>
    </cfRule>
  </conditionalFormatting>
  <conditionalFormatting sqref="D380">
    <cfRule type="containsText" dxfId="401" priority="1124" operator="containsText" text="highlight">
      <formula>ISBLANK(D380)</formula>
    </cfRule>
  </conditionalFormatting>
  <conditionalFormatting sqref="G380">
    <cfRule type="containsText" dxfId="400" priority="1125" operator="containsText" text="highlight">
      <formula>G380="Fail"</formula>
    </cfRule>
    <cfRule type="containsText" dxfId="399" priority="1126" operator="containsText" text="highlight">
      <formula>G380="Pass"</formula>
    </cfRule>
  </conditionalFormatting>
  <conditionalFormatting sqref="D381">
    <cfRule type="containsText" dxfId="398" priority="1127" operator="containsText" text="highlight">
      <formula>ISBLANK(D381)</formula>
    </cfRule>
  </conditionalFormatting>
  <conditionalFormatting sqref="G381">
    <cfRule type="containsText" dxfId="397" priority="1128" operator="containsText" text="highlight">
      <formula>G381="Fail"</formula>
    </cfRule>
    <cfRule type="containsText" dxfId="396" priority="1129" operator="containsText" text="highlight">
      <formula>G381="Pass"</formula>
    </cfRule>
  </conditionalFormatting>
  <conditionalFormatting sqref="D382">
    <cfRule type="containsText" dxfId="395" priority="1130" operator="containsText" text="highlight">
      <formula>ISBLANK(D382)</formula>
    </cfRule>
  </conditionalFormatting>
  <conditionalFormatting sqref="G382">
    <cfRule type="containsText" dxfId="394" priority="1131" operator="containsText" text="highlight">
      <formula>G382="Fail"</formula>
    </cfRule>
    <cfRule type="containsText" dxfId="393" priority="1132" operator="containsText" text="highlight">
      <formula>G382="Pass"</formula>
    </cfRule>
  </conditionalFormatting>
  <conditionalFormatting sqref="D383">
    <cfRule type="containsText" dxfId="392" priority="1133" operator="containsText" text="highlight">
      <formula>ISBLANK(D383)</formula>
    </cfRule>
  </conditionalFormatting>
  <conditionalFormatting sqref="G383">
    <cfRule type="containsText" dxfId="391" priority="1134" operator="containsText" text="highlight">
      <formula>G383="Fail"</formula>
    </cfRule>
    <cfRule type="containsText" dxfId="390" priority="1135" operator="containsText" text="highlight">
      <formula>G383="Pass"</formula>
    </cfRule>
  </conditionalFormatting>
  <conditionalFormatting sqref="D384">
    <cfRule type="containsText" dxfId="389" priority="1136" operator="containsText" text="highlight">
      <formula>ISBLANK(D384)</formula>
    </cfRule>
  </conditionalFormatting>
  <conditionalFormatting sqref="G384">
    <cfRule type="containsText" dxfId="388" priority="1137" operator="containsText" text="highlight">
      <formula>G384="Fail"</formula>
    </cfRule>
    <cfRule type="containsText" dxfId="387" priority="1138" operator="containsText" text="highlight">
      <formula>G384="Pass"</formula>
    </cfRule>
  </conditionalFormatting>
  <conditionalFormatting sqref="D385">
    <cfRule type="containsText" dxfId="386" priority="1139" operator="containsText" text="highlight">
      <formula>ISBLANK(D385)</formula>
    </cfRule>
  </conditionalFormatting>
  <conditionalFormatting sqref="G385">
    <cfRule type="containsText" dxfId="385" priority="1140" operator="containsText" text="highlight">
      <formula>G385="Fail"</formula>
    </cfRule>
    <cfRule type="containsText" dxfId="384" priority="1141" operator="containsText" text="highlight">
      <formula>G385="Pass"</formula>
    </cfRule>
  </conditionalFormatting>
  <conditionalFormatting sqref="D386">
    <cfRule type="containsText" dxfId="383" priority="1142" operator="containsText" text="highlight">
      <formula>ISBLANK(D386)</formula>
    </cfRule>
  </conditionalFormatting>
  <conditionalFormatting sqref="G386">
    <cfRule type="containsText" dxfId="382" priority="1143" operator="containsText" text="highlight">
      <formula>G386="Fail"</formula>
    </cfRule>
    <cfRule type="containsText" dxfId="381" priority="1144" operator="containsText" text="highlight">
      <formula>G386="Pass"</formula>
    </cfRule>
  </conditionalFormatting>
  <conditionalFormatting sqref="D387">
    <cfRule type="containsText" dxfId="380" priority="1145" operator="containsText" text="highlight">
      <formula>ISBLANK(D387)</formula>
    </cfRule>
  </conditionalFormatting>
  <conditionalFormatting sqref="G387">
    <cfRule type="containsText" dxfId="379" priority="1146" operator="containsText" text="highlight">
      <formula>G387="Fail"</formula>
    </cfRule>
    <cfRule type="containsText" dxfId="378" priority="1147" operator="containsText" text="highlight">
      <formula>G387="Pass"</formula>
    </cfRule>
  </conditionalFormatting>
  <conditionalFormatting sqref="D388">
    <cfRule type="containsText" dxfId="377" priority="1148" operator="containsText" text="highlight">
      <formula>ISBLANK(D388)</formula>
    </cfRule>
  </conditionalFormatting>
  <conditionalFormatting sqref="G388">
    <cfRule type="containsText" dxfId="376" priority="1149" operator="containsText" text="highlight">
      <formula>G388="Fail"</formula>
    </cfRule>
    <cfRule type="containsText" dxfId="375" priority="1150" operator="containsText" text="highlight">
      <formula>G388="Pass"</formula>
    </cfRule>
  </conditionalFormatting>
  <conditionalFormatting sqref="D389">
    <cfRule type="containsText" dxfId="374" priority="1151" operator="containsText" text="highlight">
      <formula>ISBLANK(D389)</formula>
    </cfRule>
  </conditionalFormatting>
  <conditionalFormatting sqref="G389">
    <cfRule type="containsText" dxfId="373" priority="1152" operator="containsText" text="highlight">
      <formula>G389="Fail"</formula>
    </cfRule>
    <cfRule type="containsText" dxfId="372" priority="1153" operator="containsText" text="highlight">
      <formula>G389="Pass"</formula>
    </cfRule>
  </conditionalFormatting>
  <conditionalFormatting sqref="D390">
    <cfRule type="containsText" dxfId="371" priority="1154" operator="containsText" text="highlight">
      <formula>ISBLANK(D390)</formula>
    </cfRule>
  </conditionalFormatting>
  <conditionalFormatting sqref="G390">
    <cfRule type="containsText" dxfId="370" priority="1155" operator="containsText" text="highlight">
      <formula>G390="Fail"</formula>
    </cfRule>
    <cfRule type="containsText" dxfId="369" priority="1156" operator="containsText" text="highlight">
      <formula>G390="Pass"</formula>
    </cfRule>
  </conditionalFormatting>
  <conditionalFormatting sqref="D391">
    <cfRule type="containsText" dxfId="368" priority="1157" operator="containsText" text="highlight">
      <formula>ISBLANK(D391)</formula>
    </cfRule>
  </conditionalFormatting>
  <conditionalFormatting sqref="G391">
    <cfRule type="containsText" dxfId="367" priority="1158" operator="containsText" text="highlight">
      <formula>G391="Fail"</formula>
    </cfRule>
    <cfRule type="containsText" dxfId="366" priority="1159" operator="containsText" text="highlight">
      <formula>G391="Pass"</formula>
    </cfRule>
  </conditionalFormatting>
  <conditionalFormatting sqref="D392">
    <cfRule type="containsText" dxfId="365" priority="1160" operator="containsText" text="highlight">
      <formula>ISBLANK(D392)</formula>
    </cfRule>
  </conditionalFormatting>
  <conditionalFormatting sqref="G392">
    <cfRule type="containsText" dxfId="364" priority="1161" operator="containsText" text="highlight">
      <formula>G392="Fail"</formula>
    </cfRule>
    <cfRule type="containsText" dxfId="363" priority="1162" operator="containsText" text="highlight">
      <formula>G392="Pass"</formula>
    </cfRule>
  </conditionalFormatting>
  <conditionalFormatting sqref="D393">
    <cfRule type="containsText" dxfId="362" priority="1163" operator="containsText" text="highlight">
      <formula>ISBLANK(D393)</formula>
    </cfRule>
  </conditionalFormatting>
  <conditionalFormatting sqref="G393">
    <cfRule type="containsText" dxfId="361" priority="1164" operator="containsText" text="highlight">
      <formula>G393="Fail"</formula>
    </cfRule>
    <cfRule type="containsText" dxfId="360" priority="1165" operator="containsText" text="highlight">
      <formula>G393="Pass"</formula>
    </cfRule>
  </conditionalFormatting>
  <conditionalFormatting sqref="D394">
    <cfRule type="containsText" dxfId="359" priority="1166" operator="containsText" text="highlight">
      <formula>ISBLANK(D394)</formula>
    </cfRule>
  </conditionalFormatting>
  <conditionalFormatting sqref="G394">
    <cfRule type="containsText" dxfId="358" priority="1167" operator="containsText" text="highlight">
      <formula>G394="Fail"</formula>
    </cfRule>
    <cfRule type="containsText" dxfId="357" priority="1168" operator="containsText" text="highlight">
      <formula>G394="Pass"</formula>
    </cfRule>
  </conditionalFormatting>
  <conditionalFormatting sqref="D395">
    <cfRule type="containsText" dxfId="356" priority="1169" operator="containsText" text="highlight">
      <formula>ISBLANK(D395)</formula>
    </cfRule>
  </conditionalFormatting>
  <conditionalFormatting sqref="G395">
    <cfRule type="containsText" dxfId="355" priority="1170" operator="containsText" text="highlight">
      <formula>G395="Fail"</formula>
    </cfRule>
    <cfRule type="containsText" dxfId="354" priority="1171" operator="containsText" text="highlight">
      <formula>G395="Pass"</formula>
    </cfRule>
  </conditionalFormatting>
  <conditionalFormatting sqref="D396">
    <cfRule type="containsText" dxfId="353" priority="1172" operator="containsText" text="highlight">
      <formula>ISBLANK(D396)</formula>
    </cfRule>
  </conditionalFormatting>
  <conditionalFormatting sqref="G396">
    <cfRule type="containsText" dxfId="352" priority="1173" operator="containsText" text="highlight">
      <formula>G396="Fail"</formula>
    </cfRule>
    <cfRule type="containsText" dxfId="351" priority="1174" operator="containsText" text="highlight">
      <formula>G396="Pass"</formula>
    </cfRule>
  </conditionalFormatting>
  <conditionalFormatting sqref="D397">
    <cfRule type="containsText" dxfId="350" priority="1175" operator="containsText" text="highlight">
      <formula>ISBLANK(D397)</formula>
    </cfRule>
  </conditionalFormatting>
  <conditionalFormatting sqref="G397">
    <cfRule type="containsText" dxfId="349" priority="1176" operator="containsText" text="highlight">
      <formula>G397="Fail"</formula>
    </cfRule>
    <cfRule type="containsText" dxfId="348" priority="1177" operator="containsText" text="highlight">
      <formula>G397="Pass"</formula>
    </cfRule>
  </conditionalFormatting>
  <conditionalFormatting sqref="D398">
    <cfRule type="containsText" dxfId="347" priority="1178" operator="containsText" text="highlight">
      <formula>ISBLANK(D398)</formula>
    </cfRule>
  </conditionalFormatting>
  <conditionalFormatting sqref="G398">
    <cfRule type="containsText" dxfId="346" priority="1179" operator="containsText" text="highlight">
      <formula>G398="Fail"</formula>
    </cfRule>
    <cfRule type="containsText" dxfId="345" priority="1180" operator="containsText" text="highlight">
      <formula>G398="Pass"</formula>
    </cfRule>
  </conditionalFormatting>
  <conditionalFormatting sqref="D399">
    <cfRule type="containsText" dxfId="344" priority="1181" operator="containsText" text="highlight">
      <formula>ISBLANK(D399)</formula>
    </cfRule>
  </conditionalFormatting>
  <conditionalFormatting sqref="G399">
    <cfRule type="containsText" dxfId="343" priority="1182" operator="containsText" text="highlight">
      <formula>G399="Fail"</formula>
    </cfRule>
    <cfRule type="containsText" dxfId="342" priority="1183" operator="containsText" text="highlight">
      <formula>G399="Pass"</formula>
    </cfRule>
  </conditionalFormatting>
  <conditionalFormatting sqref="D400">
    <cfRule type="containsText" dxfId="341" priority="1184" operator="containsText" text="highlight">
      <formula>ISBLANK(D400)</formula>
    </cfRule>
  </conditionalFormatting>
  <conditionalFormatting sqref="G400">
    <cfRule type="containsText" dxfId="340" priority="1185" operator="containsText" text="highlight">
      <formula>G400="Fail"</formula>
    </cfRule>
    <cfRule type="containsText" dxfId="339" priority="1186" operator="containsText" text="highlight">
      <formula>G400="Pass"</formula>
    </cfRule>
  </conditionalFormatting>
  <conditionalFormatting sqref="D401">
    <cfRule type="containsText" dxfId="338" priority="1187" operator="containsText" text="highlight">
      <formula>ISBLANK(D401)</formula>
    </cfRule>
  </conditionalFormatting>
  <conditionalFormatting sqref="G401">
    <cfRule type="containsText" dxfId="337" priority="1188" operator="containsText" text="highlight">
      <formula>G401="Fail"</formula>
    </cfRule>
    <cfRule type="containsText" dxfId="336" priority="1189" operator="containsText" text="highlight">
      <formula>G401="Pass"</formula>
    </cfRule>
  </conditionalFormatting>
  <conditionalFormatting sqref="D402">
    <cfRule type="containsText" dxfId="335" priority="1190" operator="containsText" text="highlight">
      <formula>ISBLANK(D402)</formula>
    </cfRule>
  </conditionalFormatting>
  <conditionalFormatting sqref="G402">
    <cfRule type="containsText" dxfId="334" priority="1191" operator="containsText" text="highlight">
      <formula>G402="Fail"</formula>
    </cfRule>
    <cfRule type="containsText" dxfId="333" priority="1192" operator="containsText" text="highlight">
      <formula>G402="Pass"</formula>
    </cfRule>
  </conditionalFormatting>
  <conditionalFormatting sqref="D403">
    <cfRule type="containsText" dxfId="332" priority="1193" operator="containsText" text="highlight">
      <formula>ISBLANK(D403)</formula>
    </cfRule>
  </conditionalFormatting>
  <conditionalFormatting sqref="G403">
    <cfRule type="containsText" dxfId="331" priority="1194" operator="containsText" text="highlight">
      <formula>G403="Fail"</formula>
    </cfRule>
    <cfRule type="containsText" dxfId="330" priority="1195" operator="containsText" text="highlight">
      <formula>G403="Pass"</formula>
    </cfRule>
  </conditionalFormatting>
  <conditionalFormatting sqref="D404">
    <cfRule type="containsText" dxfId="329" priority="1196" operator="containsText" text="highlight">
      <formula>ISBLANK(D404)</formula>
    </cfRule>
  </conditionalFormatting>
  <conditionalFormatting sqref="G404">
    <cfRule type="containsText" dxfId="328" priority="1197" operator="containsText" text="highlight">
      <formula>G404="Fail"</formula>
    </cfRule>
    <cfRule type="containsText" dxfId="327" priority="1198" operator="containsText" text="highlight">
      <formula>G404="Pass"</formula>
    </cfRule>
  </conditionalFormatting>
  <conditionalFormatting sqref="D405">
    <cfRule type="containsText" dxfId="326" priority="1199" operator="containsText" text="highlight">
      <formula>ISBLANK(D405)</formula>
    </cfRule>
  </conditionalFormatting>
  <conditionalFormatting sqref="G405">
    <cfRule type="containsText" dxfId="325" priority="1200" operator="containsText" text="highlight">
      <formula>G405="Fail"</formula>
    </cfRule>
    <cfRule type="containsText" dxfId="324" priority="1201" operator="containsText" text="highlight">
      <formula>G405="Pass"</formula>
    </cfRule>
  </conditionalFormatting>
  <conditionalFormatting sqref="D406">
    <cfRule type="containsText" dxfId="323" priority="1202" operator="containsText" text="highlight">
      <formula>ISBLANK(D406)</formula>
    </cfRule>
  </conditionalFormatting>
  <conditionalFormatting sqref="G406">
    <cfRule type="containsText" dxfId="322" priority="1203" operator="containsText" text="highlight">
      <formula>G406="Fail"</formula>
    </cfRule>
    <cfRule type="containsText" dxfId="321" priority="1204" operator="containsText" text="highlight">
      <formula>G406="Pass"</formula>
    </cfRule>
  </conditionalFormatting>
  <conditionalFormatting sqref="D407">
    <cfRule type="containsText" dxfId="320" priority="1205" operator="containsText" text="highlight">
      <formula>ISBLANK(D407)</formula>
    </cfRule>
  </conditionalFormatting>
  <conditionalFormatting sqref="G407">
    <cfRule type="containsText" dxfId="319" priority="1206" operator="containsText" text="highlight">
      <formula>G407="Fail"</formula>
    </cfRule>
    <cfRule type="containsText" dxfId="318" priority="1207" operator="containsText" text="highlight">
      <formula>G407="Pass"</formula>
    </cfRule>
  </conditionalFormatting>
  <conditionalFormatting sqref="D408">
    <cfRule type="containsText" dxfId="317" priority="1208" operator="containsText" text="highlight">
      <formula>ISBLANK(D408)</formula>
    </cfRule>
  </conditionalFormatting>
  <conditionalFormatting sqref="G408">
    <cfRule type="containsText" dxfId="316" priority="1209" operator="containsText" text="highlight">
      <formula>G408="Fail"</formula>
    </cfRule>
    <cfRule type="containsText" dxfId="315" priority="1210" operator="containsText" text="highlight">
      <formula>G408="Pass"</formula>
    </cfRule>
  </conditionalFormatting>
  <conditionalFormatting sqref="D409">
    <cfRule type="containsText" dxfId="314" priority="1211" operator="containsText" text="highlight">
      <formula>ISBLANK(D409)</formula>
    </cfRule>
  </conditionalFormatting>
  <conditionalFormatting sqref="G409">
    <cfRule type="containsText" dxfId="313" priority="1212" operator="containsText" text="highlight">
      <formula>G409="Fail"</formula>
    </cfRule>
    <cfRule type="containsText" dxfId="312" priority="1213" operator="containsText" text="highlight">
      <formula>G409="Pass"</formula>
    </cfRule>
  </conditionalFormatting>
  <conditionalFormatting sqref="D410">
    <cfRule type="containsText" dxfId="311" priority="1214" operator="containsText" text="highlight">
      <formula>ISBLANK(D410)</formula>
    </cfRule>
  </conditionalFormatting>
  <conditionalFormatting sqref="G410">
    <cfRule type="containsText" dxfId="310" priority="1215" operator="containsText" text="highlight">
      <formula>G410="Fail"</formula>
    </cfRule>
    <cfRule type="containsText" dxfId="309" priority="1216" operator="containsText" text="highlight">
      <formula>G410="Pass"</formula>
    </cfRule>
  </conditionalFormatting>
  <conditionalFormatting sqref="D411">
    <cfRule type="containsText" dxfId="308" priority="1217" operator="containsText" text="highlight">
      <formula>ISBLANK(D411)</formula>
    </cfRule>
  </conditionalFormatting>
  <conditionalFormatting sqref="G411">
    <cfRule type="containsText" dxfId="307" priority="1218" operator="containsText" text="highlight">
      <formula>G411="Fail"</formula>
    </cfRule>
    <cfRule type="containsText" dxfId="306" priority="1219" operator="containsText" text="highlight">
      <formula>G411="Pass"</formula>
    </cfRule>
  </conditionalFormatting>
  <conditionalFormatting sqref="D412">
    <cfRule type="containsText" dxfId="305" priority="1220" operator="containsText" text="highlight">
      <formula>ISBLANK(D412)</formula>
    </cfRule>
  </conditionalFormatting>
  <conditionalFormatting sqref="G412">
    <cfRule type="containsText" dxfId="304" priority="1221" operator="containsText" text="highlight">
      <formula>G412="Fail"</formula>
    </cfRule>
    <cfRule type="containsText" dxfId="303" priority="1222" operator="containsText" text="highlight">
      <formula>G412="Pass"</formula>
    </cfRule>
  </conditionalFormatting>
  <conditionalFormatting sqref="D413">
    <cfRule type="containsText" dxfId="302" priority="1223" operator="containsText" text="highlight">
      <formula>ISBLANK(D413)</formula>
    </cfRule>
  </conditionalFormatting>
  <conditionalFormatting sqref="G413">
    <cfRule type="containsText" dxfId="301" priority="1224" operator="containsText" text="highlight">
      <formula>G413="Fail"</formula>
    </cfRule>
    <cfRule type="containsText" dxfId="300" priority="1225" operator="containsText" text="highlight">
      <formula>G413="Pass"</formula>
    </cfRule>
  </conditionalFormatting>
  <conditionalFormatting sqref="D414">
    <cfRule type="containsText" dxfId="299" priority="1226" operator="containsText" text="highlight">
      <formula>ISBLANK(D414)</formula>
    </cfRule>
  </conditionalFormatting>
  <conditionalFormatting sqref="G414">
    <cfRule type="containsText" dxfId="298" priority="1227" operator="containsText" text="highlight">
      <formula>G414="Fail"</formula>
    </cfRule>
    <cfRule type="containsText" dxfId="297" priority="1228" operator="containsText" text="highlight">
      <formula>G414="Pass"</formula>
    </cfRule>
  </conditionalFormatting>
  <conditionalFormatting sqref="D415">
    <cfRule type="containsText" dxfId="296" priority="1229" operator="containsText" text="highlight">
      <formula>ISBLANK(D415)</formula>
    </cfRule>
  </conditionalFormatting>
  <conditionalFormatting sqref="G415">
    <cfRule type="containsText" dxfId="295" priority="1230" operator="containsText" text="highlight">
      <formula>G415="Fail"</formula>
    </cfRule>
    <cfRule type="containsText" dxfId="294" priority="1231" operator="containsText" text="highlight">
      <formula>G415="Pass"</formula>
    </cfRule>
  </conditionalFormatting>
  <conditionalFormatting sqref="D416">
    <cfRule type="containsText" dxfId="293" priority="1232" operator="containsText" text="highlight">
      <formula>ISBLANK(D416)</formula>
    </cfRule>
  </conditionalFormatting>
  <conditionalFormatting sqref="G416">
    <cfRule type="containsText" dxfId="292" priority="1233" operator="containsText" text="highlight">
      <formula>G416="Fail"</formula>
    </cfRule>
    <cfRule type="containsText" dxfId="291" priority="1234" operator="containsText" text="highlight">
      <formula>G416="Pass"</formula>
    </cfRule>
  </conditionalFormatting>
  <conditionalFormatting sqref="D417">
    <cfRule type="containsText" dxfId="290" priority="1235" operator="containsText" text="highlight">
      <formula>ISBLANK(D417)</formula>
    </cfRule>
  </conditionalFormatting>
  <conditionalFormatting sqref="G417">
    <cfRule type="containsText" dxfId="289" priority="1236" operator="containsText" text="highlight">
      <formula>G417="Fail"</formula>
    </cfRule>
    <cfRule type="containsText" dxfId="288" priority="1237" operator="containsText" text="highlight">
      <formula>G417="Pass"</formula>
    </cfRule>
  </conditionalFormatting>
  <conditionalFormatting sqref="D418">
    <cfRule type="containsText" dxfId="287" priority="1238" operator="containsText" text="highlight">
      <formula>ISBLANK(D418)</formula>
    </cfRule>
  </conditionalFormatting>
  <conditionalFormatting sqref="G418">
    <cfRule type="containsText" dxfId="286" priority="1239" operator="containsText" text="highlight">
      <formula>G418="Fail"</formula>
    </cfRule>
    <cfRule type="containsText" dxfId="285" priority="1240" operator="containsText" text="highlight">
      <formula>G418="Pass"</formula>
    </cfRule>
  </conditionalFormatting>
  <conditionalFormatting sqref="D419">
    <cfRule type="containsText" dxfId="284" priority="1241" operator="containsText" text="highlight">
      <formula>ISBLANK(D419)</formula>
    </cfRule>
  </conditionalFormatting>
  <conditionalFormatting sqref="G419">
    <cfRule type="containsText" dxfId="283" priority="1242" operator="containsText" text="highlight">
      <formula>G419="Fail"</formula>
    </cfRule>
    <cfRule type="containsText" dxfId="282" priority="1243" operator="containsText" text="highlight">
      <formula>G419="Pass"</formula>
    </cfRule>
  </conditionalFormatting>
  <conditionalFormatting sqref="D420">
    <cfRule type="containsText" dxfId="281" priority="1244" operator="containsText" text="highlight">
      <formula>ISBLANK(D420)</formula>
    </cfRule>
  </conditionalFormatting>
  <conditionalFormatting sqref="G420">
    <cfRule type="containsText" dxfId="280" priority="1245" operator="containsText" text="highlight">
      <formula>G420="Fail"</formula>
    </cfRule>
    <cfRule type="containsText" dxfId="279" priority="1246" operator="containsText" text="highlight">
      <formula>G420="Pass"</formula>
    </cfRule>
  </conditionalFormatting>
  <conditionalFormatting sqref="D421">
    <cfRule type="containsText" dxfId="278" priority="1247" operator="containsText" text="highlight">
      <formula>ISBLANK(D421)</formula>
    </cfRule>
  </conditionalFormatting>
  <conditionalFormatting sqref="G421">
    <cfRule type="containsText" dxfId="277" priority="1248" operator="containsText" text="highlight">
      <formula>G421="Fail"</formula>
    </cfRule>
    <cfRule type="containsText" dxfId="276" priority="1249" operator="containsText" text="highlight">
      <formula>G421="Pass"</formula>
    </cfRule>
  </conditionalFormatting>
  <conditionalFormatting sqref="D422">
    <cfRule type="containsText" dxfId="275" priority="1250" operator="containsText" text="highlight">
      <formula>ISBLANK(D422)</formula>
    </cfRule>
  </conditionalFormatting>
  <conditionalFormatting sqref="G422">
    <cfRule type="containsText" dxfId="274" priority="1251" operator="containsText" text="highlight">
      <formula>G422="Fail"</formula>
    </cfRule>
    <cfRule type="containsText" dxfId="273" priority="1252" operator="containsText" text="highlight">
      <formula>G422="Pass"</formula>
    </cfRule>
  </conditionalFormatting>
  <conditionalFormatting sqref="D423">
    <cfRule type="containsText" dxfId="272" priority="1253" operator="containsText" text="highlight">
      <formula>ISBLANK(D423)</formula>
    </cfRule>
  </conditionalFormatting>
  <conditionalFormatting sqref="G423">
    <cfRule type="containsText" dxfId="271" priority="1254" operator="containsText" text="highlight">
      <formula>G423="Fail"</formula>
    </cfRule>
    <cfRule type="containsText" dxfId="270" priority="1255" operator="containsText" text="highlight">
      <formula>G423="Pass"</formula>
    </cfRule>
  </conditionalFormatting>
  <conditionalFormatting sqref="D424">
    <cfRule type="containsText" dxfId="269" priority="1256" operator="containsText" text="highlight">
      <formula>ISBLANK(D424)</formula>
    </cfRule>
  </conditionalFormatting>
  <conditionalFormatting sqref="G424">
    <cfRule type="containsText" dxfId="268" priority="1257" operator="containsText" text="highlight">
      <formula>G424="Fail"</formula>
    </cfRule>
    <cfRule type="containsText" dxfId="267" priority="1258" operator="containsText" text="highlight">
      <formula>G424="Pass"</formula>
    </cfRule>
  </conditionalFormatting>
  <conditionalFormatting sqref="D425">
    <cfRule type="containsText" dxfId="266" priority="1259" operator="containsText" text="highlight">
      <formula>ISBLANK(D425)</formula>
    </cfRule>
  </conditionalFormatting>
  <conditionalFormatting sqref="G425">
    <cfRule type="containsText" dxfId="265" priority="1260" operator="containsText" text="highlight">
      <formula>G425="Fail"</formula>
    </cfRule>
    <cfRule type="containsText" dxfId="264" priority="1261" operator="containsText" text="highlight">
      <formula>G425="Pass"</formula>
    </cfRule>
  </conditionalFormatting>
  <conditionalFormatting sqref="D426">
    <cfRule type="containsText" dxfId="263" priority="1262" operator="containsText" text="highlight">
      <formula>ISBLANK(D426)</formula>
    </cfRule>
  </conditionalFormatting>
  <conditionalFormatting sqref="G426">
    <cfRule type="containsText" dxfId="262" priority="1263" operator="containsText" text="highlight">
      <formula>G426="Fail"</formula>
    </cfRule>
    <cfRule type="containsText" dxfId="261" priority="1264" operator="containsText" text="highlight">
      <formula>G426="Pass"</formula>
    </cfRule>
  </conditionalFormatting>
  <conditionalFormatting sqref="D427">
    <cfRule type="containsText" dxfId="260" priority="1265" operator="containsText" text="highlight">
      <formula>ISBLANK(D427)</formula>
    </cfRule>
  </conditionalFormatting>
  <conditionalFormatting sqref="G427">
    <cfRule type="containsText" dxfId="259" priority="1266" operator="containsText" text="highlight">
      <formula>G427="Fail"</formula>
    </cfRule>
    <cfRule type="containsText" dxfId="258" priority="1267" operator="containsText" text="highlight">
      <formula>G427="Pass"</formula>
    </cfRule>
  </conditionalFormatting>
  <conditionalFormatting sqref="D428">
    <cfRule type="containsText" dxfId="257" priority="1268" operator="containsText" text="highlight">
      <formula>ISBLANK(D428)</formula>
    </cfRule>
  </conditionalFormatting>
  <conditionalFormatting sqref="G428">
    <cfRule type="containsText" dxfId="256" priority="1269" operator="containsText" text="highlight">
      <formula>G428="Fail"</formula>
    </cfRule>
    <cfRule type="containsText" dxfId="255" priority="1270" operator="containsText" text="highlight">
      <formula>G428="Pass"</formula>
    </cfRule>
  </conditionalFormatting>
  <conditionalFormatting sqref="D429">
    <cfRule type="containsText" dxfId="254" priority="1271" operator="containsText" text="highlight">
      <formula>ISBLANK(D429)</formula>
    </cfRule>
  </conditionalFormatting>
  <conditionalFormatting sqref="G429">
    <cfRule type="containsText" dxfId="253" priority="1272" operator="containsText" text="highlight">
      <formula>G429="Fail"</formula>
    </cfRule>
    <cfRule type="containsText" dxfId="252" priority="1273" operator="containsText" text="highlight">
      <formula>G429="Pass"</formula>
    </cfRule>
  </conditionalFormatting>
  <conditionalFormatting sqref="D430">
    <cfRule type="containsText" dxfId="251" priority="1274" operator="containsText" text="highlight">
      <formula>ISBLANK(D430)</formula>
    </cfRule>
  </conditionalFormatting>
  <conditionalFormatting sqref="G430">
    <cfRule type="containsText" dxfId="250" priority="1275" operator="containsText" text="highlight">
      <formula>G430="Fail"</formula>
    </cfRule>
    <cfRule type="containsText" dxfId="249" priority="1276" operator="containsText" text="highlight">
      <formula>G430="Pass"</formula>
    </cfRule>
  </conditionalFormatting>
  <conditionalFormatting sqref="D431">
    <cfRule type="containsText" dxfId="248" priority="1277" operator="containsText" text="highlight">
      <formula>ISBLANK(D431)</formula>
    </cfRule>
  </conditionalFormatting>
  <conditionalFormatting sqref="G431">
    <cfRule type="containsText" dxfId="247" priority="1278" operator="containsText" text="highlight">
      <formula>G431="Fail"</formula>
    </cfRule>
    <cfRule type="containsText" dxfId="246" priority="1279" operator="containsText" text="highlight">
      <formula>G431="Pass"</formula>
    </cfRule>
  </conditionalFormatting>
  <conditionalFormatting sqref="D432">
    <cfRule type="containsText" dxfId="245" priority="1280" operator="containsText" text="highlight">
      <formula>ISBLANK(D432)</formula>
    </cfRule>
  </conditionalFormatting>
  <conditionalFormatting sqref="G432">
    <cfRule type="containsText" dxfId="244" priority="1281" operator="containsText" text="highlight">
      <formula>G432="Fail"</formula>
    </cfRule>
    <cfRule type="containsText" dxfId="243" priority="1282" operator="containsText" text="highlight">
      <formula>G432="Pass"</formula>
    </cfRule>
  </conditionalFormatting>
  <conditionalFormatting sqref="D433">
    <cfRule type="containsText" dxfId="242" priority="1283" operator="containsText" text="highlight">
      <formula>ISBLANK(D433)</formula>
    </cfRule>
  </conditionalFormatting>
  <conditionalFormatting sqref="G433">
    <cfRule type="containsText" dxfId="241" priority="1284" operator="containsText" text="highlight">
      <formula>G433="Fail"</formula>
    </cfRule>
    <cfRule type="containsText" dxfId="240" priority="1285" operator="containsText" text="highlight">
      <formula>G433="Pass"</formula>
    </cfRule>
  </conditionalFormatting>
  <conditionalFormatting sqref="D434">
    <cfRule type="containsText" dxfId="239" priority="1286" operator="containsText" text="highlight">
      <formula>ISBLANK(D434)</formula>
    </cfRule>
  </conditionalFormatting>
  <conditionalFormatting sqref="G434">
    <cfRule type="containsText" dxfId="238" priority="1287" operator="containsText" text="highlight">
      <formula>G434="Fail"</formula>
    </cfRule>
    <cfRule type="containsText" dxfId="237" priority="1288" operator="containsText" text="highlight">
      <formula>G434="Pass"</formula>
    </cfRule>
  </conditionalFormatting>
  <conditionalFormatting sqref="D435">
    <cfRule type="containsText" dxfId="236" priority="1289" operator="containsText" text="highlight">
      <formula>ISBLANK(D435)</formula>
    </cfRule>
  </conditionalFormatting>
  <conditionalFormatting sqref="G435">
    <cfRule type="containsText" dxfId="235" priority="1290" operator="containsText" text="highlight">
      <formula>G435="Fail"</formula>
    </cfRule>
    <cfRule type="containsText" dxfId="234" priority="1291" operator="containsText" text="highlight">
      <formula>G435="Pass"</formula>
    </cfRule>
  </conditionalFormatting>
  <conditionalFormatting sqref="D436">
    <cfRule type="containsText" dxfId="233" priority="1292" operator="containsText" text="highlight">
      <formula>ISBLANK(D436)</formula>
    </cfRule>
  </conditionalFormatting>
  <conditionalFormatting sqref="G436">
    <cfRule type="containsText" dxfId="232" priority="1293" operator="containsText" text="highlight">
      <formula>G436="Fail"</formula>
    </cfRule>
    <cfRule type="containsText" dxfId="231" priority="1294" operator="containsText" text="highlight">
      <formula>G436="Pass"</formula>
    </cfRule>
  </conditionalFormatting>
  <conditionalFormatting sqref="D437">
    <cfRule type="containsText" dxfId="230" priority="1295" operator="containsText" text="highlight">
      <formula>ISBLANK(D437)</formula>
    </cfRule>
  </conditionalFormatting>
  <conditionalFormatting sqref="G437">
    <cfRule type="containsText" dxfId="229" priority="1296" operator="containsText" text="highlight">
      <formula>G437="Fail"</formula>
    </cfRule>
    <cfRule type="containsText" dxfId="228" priority="1297" operator="containsText" text="highlight">
      <formula>G437="Pass"</formula>
    </cfRule>
  </conditionalFormatting>
  <conditionalFormatting sqref="D438">
    <cfRule type="containsText" dxfId="227" priority="1298" operator="containsText" text="highlight">
      <formula>ISBLANK(D438)</formula>
    </cfRule>
  </conditionalFormatting>
  <conditionalFormatting sqref="G438">
    <cfRule type="containsText" dxfId="226" priority="1299" operator="containsText" text="highlight">
      <formula>G438="Fail"</formula>
    </cfRule>
    <cfRule type="containsText" dxfId="225" priority="1300" operator="containsText" text="highlight">
      <formula>G438="Pass"</formula>
    </cfRule>
  </conditionalFormatting>
  <conditionalFormatting sqref="D439">
    <cfRule type="containsText" dxfId="224" priority="1301" operator="containsText" text="highlight">
      <formula>ISBLANK(D439)</formula>
    </cfRule>
  </conditionalFormatting>
  <conditionalFormatting sqref="G439">
    <cfRule type="containsText" dxfId="223" priority="1302" operator="containsText" text="highlight">
      <formula>G439="Fail"</formula>
    </cfRule>
    <cfRule type="containsText" dxfId="222" priority="1303" operator="containsText" text="highlight">
      <formula>G439="Pass"</formula>
    </cfRule>
  </conditionalFormatting>
  <conditionalFormatting sqref="D440">
    <cfRule type="containsText" dxfId="221" priority="1304" operator="containsText" text="highlight">
      <formula>ISBLANK(D440)</formula>
    </cfRule>
  </conditionalFormatting>
  <conditionalFormatting sqref="G440">
    <cfRule type="containsText" dxfId="220" priority="1305" operator="containsText" text="highlight">
      <formula>G440="Fail"</formula>
    </cfRule>
    <cfRule type="containsText" dxfId="219" priority="1306" operator="containsText" text="highlight">
      <formula>G440="Pass"</formula>
    </cfRule>
  </conditionalFormatting>
  <conditionalFormatting sqref="D441">
    <cfRule type="containsText" dxfId="218" priority="1307" operator="containsText" text="highlight">
      <formula>ISBLANK(D441)</formula>
    </cfRule>
  </conditionalFormatting>
  <conditionalFormatting sqref="G441">
    <cfRule type="containsText" dxfId="217" priority="1308" operator="containsText" text="highlight">
      <formula>G441="Fail"</formula>
    </cfRule>
    <cfRule type="containsText" dxfId="216" priority="1309" operator="containsText" text="highlight">
      <formula>G441="Pass"</formula>
    </cfRule>
  </conditionalFormatting>
  <conditionalFormatting sqref="D442">
    <cfRule type="containsText" dxfId="215" priority="1310" operator="containsText" text="highlight">
      <formula>ISBLANK(D442)</formula>
    </cfRule>
  </conditionalFormatting>
  <conditionalFormatting sqref="G442">
    <cfRule type="containsText" dxfId="214" priority="1311" operator="containsText" text="highlight">
      <formula>G442="Fail"</formula>
    </cfRule>
    <cfRule type="containsText" dxfId="213" priority="1312" operator="containsText" text="highlight">
      <formula>G442="Pass"</formula>
    </cfRule>
  </conditionalFormatting>
  <conditionalFormatting sqref="D443">
    <cfRule type="containsText" dxfId="212" priority="1313" operator="containsText" text="highlight">
      <formula>ISBLANK(D443)</formula>
    </cfRule>
  </conditionalFormatting>
  <conditionalFormatting sqref="G443">
    <cfRule type="containsText" dxfId="211" priority="1314" operator="containsText" text="highlight">
      <formula>G443="Fail"</formula>
    </cfRule>
    <cfRule type="containsText" dxfId="210" priority="1315" operator="containsText" text="highlight">
      <formula>G443="Pass"</formula>
    </cfRule>
  </conditionalFormatting>
  <conditionalFormatting sqref="D444">
    <cfRule type="containsText" dxfId="209" priority="1316" operator="containsText" text="highlight">
      <formula>ISBLANK(D444)</formula>
    </cfRule>
  </conditionalFormatting>
  <conditionalFormatting sqref="G444">
    <cfRule type="containsText" dxfId="208" priority="1317" operator="containsText" text="highlight">
      <formula>G444="Fail"</formula>
    </cfRule>
    <cfRule type="containsText" dxfId="207" priority="1318" operator="containsText" text="highlight">
      <formula>G444="Pass"</formula>
    </cfRule>
  </conditionalFormatting>
  <conditionalFormatting sqref="D445">
    <cfRule type="containsText" dxfId="206" priority="1319" operator="containsText" text="highlight">
      <formula>ISBLANK(D445)</formula>
    </cfRule>
  </conditionalFormatting>
  <conditionalFormatting sqref="G445">
    <cfRule type="containsText" dxfId="205" priority="1320" operator="containsText" text="highlight">
      <formula>G445="Fail"</formula>
    </cfRule>
    <cfRule type="containsText" dxfId="204" priority="1321" operator="containsText" text="highlight">
      <formula>G445="Pass"</formula>
    </cfRule>
  </conditionalFormatting>
  <conditionalFormatting sqref="D446">
    <cfRule type="containsText" dxfId="203" priority="1322" operator="containsText" text="highlight">
      <formula>ISBLANK(D446)</formula>
    </cfRule>
  </conditionalFormatting>
  <conditionalFormatting sqref="G446">
    <cfRule type="containsText" dxfId="202" priority="1323" operator="containsText" text="highlight">
      <formula>G446="Fail"</formula>
    </cfRule>
    <cfRule type="containsText" dxfId="201" priority="1324" operator="containsText" text="highlight">
      <formula>G446="Pass"</formula>
    </cfRule>
  </conditionalFormatting>
  <conditionalFormatting sqref="D447">
    <cfRule type="containsText" dxfId="200" priority="1325" operator="containsText" text="highlight">
      <formula>ISBLANK(D447)</formula>
    </cfRule>
  </conditionalFormatting>
  <conditionalFormatting sqref="G447">
    <cfRule type="containsText" dxfId="199" priority="1326" operator="containsText" text="highlight">
      <formula>G447="Fail"</formula>
    </cfRule>
    <cfRule type="containsText" dxfId="198" priority="1327" operator="containsText" text="highlight">
      <formula>G447="Pass"</formula>
    </cfRule>
  </conditionalFormatting>
  <conditionalFormatting sqref="D448">
    <cfRule type="containsText" dxfId="197" priority="1328" operator="containsText" text="highlight">
      <formula>ISBLANK(D448)</formula>
    </cfRule>
  </conditionalFormatting>
  <conditionalFormatting sqref="G448">
    <cfRule type="containsText" dxfId="196" priority="1329" operator="containsText" text="highlight">
      <formula>G448="Fail"</formula>
    </cfRule>
    <cfRule type="containsText" dxfId="195" priority="1330" operator="containsText" text="highlight">
      <formula>G448="Pass"</formula>
    </cfRule>
  </conditionalFormatting>
  <conditionalFormatting sqref="D449">
    <cfRule type="containsText" dxfId="194" priority="1331" operator="containsText" text="highlight">
      <formula>ISBLANK(D449)</formula>
    </cfRule>
  </conditionalFormatting>
  <conditionalFormatting sqref="G449">
    <cfRule type="containsText" dxfId="193" priority="1332" operator="containsText" text="highlight">
      <formula>G449="Fail"</formula>
    </cfRule>
    <cfRule type="containsText" dxfId="192" priority="1333" operator="containsText" text="highlight">
      <formula>G449="Pass"</formula>
    </cfRule>
  </conditionalFormatting>
  <conditionalFormatting sqref="C453">
    <cfRule type="containsText" dxfId="191" priority="1334" operator="containsText" text="highlight">
      <formula>ISBLANK(C453)</formula>
    </cfRule>
  </conditionalFormatting>
  <conditionalFormatting sqref="D453">
    <cfRule type="containsText" dxfId="190" priority="1335" operator="containsText" text="highlight">
      <formula>ISBLANK(D453)</formula>
    </cfRule>
  </conditionalFormatting>
  <conditionalFormatting sqref="F453">
    <cfRule type="containsText" dxfId="189" priority="1336" operator="containsText" text="highlight">
      <formula>ISBLANK(F453)</formula>
    </cfRule>
  </conditionalFormatting>
  <conditionalFormatting sqref="I453">
    <cfRule type="containsText" dxfId="188" priority="1337" operator="containsText" text="highlight">
      <formula>ISBLANK(I453)</formula>
    </cfRule>
    <cfRule type="containsText" dxfId="187" priority="1338" operator="containsText" text="highlight">
      <formula>I453="Fail"</formula>
    </cfRule>
    <cfRule type="containsText" dxfId="186" priority="1339" operator="containsText" text="highlight">
      <formula>I453="Pass"</formula>
    </cfRule>
  </conditionalFormatting>
  <conditionalFormatting sqref="C454">
    <cfRule type="containsText" dxfId="185" priority="1340" operator="containsText" text="highlight">
      <formula>ISBLANK(C454)</formula>
    </cfRule>
  </conditionalFormatting>
  <conditionalFormatting sqref="D454">
    <cfRule type="containsText" dxfId="184" priority="1341" operator="containsText" text="highlight">
      <formula>ISBLANK(D454)</formula>
    </cfRule>
  </conditionalFormatting>
  <conditionalFormatting sqref="F454">
    <cfRule type="containsText" dxfId="183" priority="1342" operator="containsText" text="highlight">
      <formula>ISBLANK(F454)</formula>
    </cfRule>
  </conditionalFormatting>
  <conditionalFormatting sqref="I454">
    <cfRule type="containsText" dxfId="182" priority="1343" operator="containsText" text="highlight">
      <formula>ISBLANK(I454)</formula>
    </cfRule>
    <cfRule type="containsText" dxfId="181" priority="1344" operator="containsText" text="highlight">
      <formula>I454="Fail"</formula>
    </cfRule>
    <cfRule type="containsText" dxfId="180" priority="1345" operator="containsText" text="highlight">
      <formula>I454="Pass"</formula>
    </cfRule>
  </conditionalFormatting>
  <conditionalFormatting sqref="C455">
    <cfRule type="containsText" dxfId="179" priority="1346" operator="containsText" text="highlight">
      <formula>ISBLANK(C455)</formula>
    </cfRule>
  </conditionalFormatting>
  <conditionalFormatting sqref="D455">
    <cfRule type="containsText" dxfId="178" priority="1347" operator="containsText" text="highlight">
      <formula>ISBLANK(D455)</formula>
    </cfRule>
  </conditionalFormatting>
  <conditionalFormatting sqref="F455">
    <cfRule type="containsText" dxfId="177" priority="1348" operator="containsText" text="highlight">
      <formula>ISBLANK(F455)</formula>
    </cfRule>
  </conditionalFormatting>
  <conditionalFormatting sqref="I455">
    <cfRule type="containsText" dxfId="176" priority="1349" operator="containsText" text="highlight">
      <formula>ISBLANK(I455)</formula>
    </cfRule>
    <cfRule type="containsText" dxfId="175" priority="1350" operator="containsText" text="highlight">
      <formula>I455="Fail"</formula>
    </cfRule>
    <cfRule type="containsText" dxfId="174" priority="1351" operator="containsText" text="highlight">
      <formula>I455="Pass"</formula>
    </cfRule>
  </conditionalFormatting>
  <conditionalFormatting sqref="C456">
    <cfRule type="containsText" dxfId="173" priority="1352" operator="containsText" text="highlight">
      <formula>ISBLANK(C456)</formula>
    </cfRule>
  </conditionalFormatting>
  <conditionalFormatting sqref="D456">
    <cfRule type="containsText" dxfId="172" priority="1353" operator="containsText" text="highlight">
      <formula>ISBLANK(D456)</formula>
    </cfRule>
  </conditionalFormatting>
  <conditionalFormatting sqref="F456">
    <cfRule type="containsText" dxfId="171" priority="1354" operator="containsText" text="highlight">
      <formula>ISBLANK(F456)</formula>
    </cfRule>
  </conditionalFormatting>
  <conditionalFormatting sqref="I456">
    <cfRule type="containsText" dxfId="170" priority="1355" operator="containsText" text="highlight">
      <formula>ISBLANK(I456)</formula>
    </cfRule>
    <cfRule type="containsText" dxfId="169" priority="1356" operator="containsText" text="highlight">
      <formula>I456="Fail"</formula>
    </cfRule>
    <cfRule type="containsText" dxfId="168" priority="1357" operator="containsText" text="highlight">
      <formula>I456="Pass"</formula>
    </cfRule>
  </conditionalFormatting>
  <conditionalFormatting sqref="C457">
    <cfRule type="containsText" dxfId="167" priority="1358" operator="containsText" text="highlight">
      <formula>ISBLANK(C457)</formula>
    </cfRule>
  </conditionalFormatting>
  <conditionalFormatting sqref="D457">
    <cfRule type="containsText" dxfId="166" priority="1359" operator="containsText" text="highlight">
      <formula>ISBLANK(D457)</formula>
    </cfRule>
  </conditionalFormatting>
  <conditionalFormatting sqref="F457">
    <cfRule type="containsText" dxfId="165" priority="1360" operator="containsText" text="highlight">
      <formula>ISBLANK(F457)</formula>
    </cfRule>
  </conditionalFormatting>
  <conditionalFormatting sqref="I457">
    <cfRule type="containsText" dxfId="164" priority="1361" operator="containsText" text="highlight">
      <formula>ISBLANK(I457)</formula>
    </cfRule>
    <cfRule type="containsText" dxfId="163" priority="1362" operator="containsText" text="highlight">
      <formula>I457="Fail"</formula>
    </cfRule>
    <cfRule type="containsText" dxfId="162" priority="1363" operator="containsText" text="highlight">
      <formula>I457="Pass"</formula>
    </cfRule>
  </conditionalFormatting>
  <conditionalFormatting sqref="C458">
    <cfRule type="containsText" dxfId="161" priority="1364" operator="containsText" text="highlight">
      <formula>ISBLANK(C458)</formula>
    </cfRule>
  </conditionalFormatting>
  <conditionalFormatting sqref="D458">
    <cfRule type="containsText" dxfId="160" priority="1365" operator="containsText" text="highlight">
      <formula>ISBLANK(D458)</formula>
    </cfRule>
  </conditionalFormatting>
  <conditionalFormatting sqref="F458">
    <cfRule type="containsText" dxfId="159" priority="1366" operator="containsText" text="highlight">
      <formula>ISBLANK(F458)</formula>
    </cfRule>
  </conditionalFormatting>
  <conditionalFormatting sqref="I458">
    <cfRule type="containsText" dxfId="158" priority="1367" operator="containsText" text="highlight">
      <formula>ISBLANK(I458)</formula>
    </cfRule>
    <cfRule type="containsText" dxfId="157" priority="1368" operator="containsText" text="highlight">
      <formula>I458="Fail"</formula>
    </cfRule>
    <cfRule type="containsText" dxfId="156" priority="1369" operator="containsText" text="highlight">
      <formula>I458="Pass"</formula>
    </cfRule>
  </conditionalFormatting>
  <conditionalFormatting sqref="C459">
    <cfRule type="containsText" dxfId="155" priority="1370" operator="containsText" text="highlight">
      <formula>ISBLANK(C459)</formula>
    </cfRule>
  </conditionalFormatting>
  <conditionalFormatting sqref="D459">
    <cfRule type="containsText" dxfId="154" priority="1371" operator="containsText" text="highlight">
      <formula>ISBLANK(D459)</formula>
    </cfRule>
  </conditionalFormatting>
  <conditionalFormatting sqref="F459">
    <cfRule type="containsText" dxfId="153" priority="1372" operator="containsText" text="highlight">
      <formula>ISBLANK(F459)</formula>
    </cfRule>
  </conditionalFormatting>
  <conditionalFormatting sqref="I459">
    <cfRule type="containsText" dxfId="152" priority="1373" operator="containsText" text="highlight">
      <formula>ISBLANK(I459)</formula>
    </cfRule>
    <cfRule type="containsText" dxfId="151" priority="1374" operator="containsText" text="highlight">
      <formula>I459="Fail"</formula>
    </cfRule>
    <cfRule type="containsText" dxfId="150" priority="1375" operator="containsText" text="highlight">
      <formula>I459="Pass"</formula>
    </cfRule>
  </conditionalFormatting>
  <conditionalFormatting sqref="C460">
    <cfRule type="containsText" dxfId="149" priority="1376" operator="containsText" text="highlight">
      <formula>ISBLANK(C460)</formula>
    </cfRule>
  </conditionalFormatting>
  <conditionalFormatting sqref="D460">
    <cfRule type="containsText" dxfId="148" priority="1377" operator="containsText" text="highlight">
      <formula>ISBLANK(D460)</formula>
    </cfRule>
  </conditionalFormatting>
  <conditionalFormatting sqref="F460">
    <cfRule type="containsText" dxfId="147" priority="1378" operator="containsText" text="highlight">
      <formula>ISBLANK(F460)</formula>
    </cfRule>
  </conditionalFormatting>
  <conditionalFormatting sqref="I460">
    <cfRule type="containsText" dxfId="146" priority="1379" operator="containsText" text="highlight">
      <formula>ISBLANK(I460)</formula>
    </cfRule>
    <cfRule type="containsText" dxfId="145" priority="1380" operator="containsText" text="highlight">
      <formula>I460="Fail"</formula>
    </cfRule>
    <cfRule type="containsText" dxfId="144" priority="1381" operator="containsText" text="highlight">
      <formula>I460="Pass"</formula>
    </cfRule>
  </conditionalFormatting>
  <conditionalFormatting sqref="C461">
    <cfRule type="containsText" dxfId="143" priority="1382" operator="containsText" text="highlight">
      <formula>ISBLANK(C461)</formula>
    </cfRule>
  </conditionalFormatting>
  <conditionalFormatting sqref="D461">
    <cfRule type="containsText" dxfId="142" priority="1383" operator="containsText" text="highlight">
      <formula>ISBLANK(D461)</formula>
    </cfRule>
  </conditionalFormatting>
  <conditionalFormatting sqref="F461">
    <cfRule type="containsText" dxfId="141" priority="1384" operator="containsText" text="highlight">
      <formula>ISBLANK(F461)</formula>
    </cfRule>
  </conditionalFormatting>
  <conditionalFormatting sqref="I461">
    <cfRule type="containsText" dxfId="140" priority="1385" operator="containsText" text="highlight">
      <formula>ISBLANK(I461)</formula>
    </cfRule>
    <cfRule type="containsText" dxfId="139" priority="1386" operator="containsText" text="highlight">
      <formula>I461="Fail"</formula>
    </cfRule>
    <cfRule type="containsText" dxfId="138" priority="1387" operator="containsText" text="highlight">
      <formula>I461="Pass"</formula>
    </cfRule>
  </conditionalFormatting>
  <conditionalFormatting sqref="C462">
    <cfRule type="containsText" dxfId="137" priority="1388" operator="containsText" text="highlight">
      <formula>ISBLANK(C462)</formula>
    </cfRule>
  </conditionalFormatting>
  <conditionalFormatting sqref="D462">
    <cfRule type="containsText" dxfId="136" priority="1389" operator="containsText" text="highlight">
      <formula>ISBLANK(D462)</formula>
    </cfRule>
  </conditionalFormatting>
  <conditionalFormatting sqref="F462">
    <cfRule type="containsText" dxfId="135" priority="1390" operator="containsText" text="highlight">
      <formula>ISBLANK(F462)</formula>
    </cfRule>
  </conditionalFormatting>
  <conditionalFormatting sqref="I462">
    <cfRule type="containsText" dxfId="134" priority="1391" operator="containsText" text="highlight">
      <formula>ISBLANK(I462)</formula>
    </cfRule>
    <cfRule type="containsText" dxfId="133" priority="1392" operator="containsText" text="highlight">
      <formula>I462="Fail"</formula>
    </cfRule>
    <cfRule type="containsText" dxfId="132" priority="1393" operator="containsText" text="highlight">
      <formula>I462="Pass"</formula>
    </cfRule>
  </conditionalFormatting>
  <conditionalFormatting sqref="C463">
    <cfRule type="containsText" dxfId="131" priority="1394" operator="containsText" text="highlight">
      <formula>ISBLANK(C463)</formula>
    </cfRule>
  </conditionalFormatting>
  <conditionalFormatting sqref="D463">
    <cfRule type="containsText" dxfId="130" priority="1395" operator="containsText" text="highlight">
      <formula>ISBLANK(D463)</formula>
    </cfRule>
  </conditionalFormatting>
  <conditionalFormatting sqref="F463">
    <cfRule type="containsText" dxfId="129" priority="1396" operator="containsText" text="highlight">
      <formula>ISBLANK(F463)</formula>
    </cfRule>
  </conditionalFormatting>
  <conditionalFormatting sqref="I463">
    <cfRule type="containsText" dxfId="128" priority="1397" operator="containsText" text="highlight">
      <formula>ISBLANK(I463)</formula>
    </cfRule>
    <cfRule type="containsText" dxfId="127" priority="1398" operator="containsText" text="highlight">
      <formula>I463="Fail"</formula>
    </cfRule>
    <cfRule type="containsText" dxfId="126" priority="1399" operator="containsText" text="highlight">
      <formula>I463="Pass"</formula>
    </cfRule>
  </conditionalFormatting>
  <conditionalFormatting sqref="C464">
    <cfRule type="containsText" dxfId="125" priority="1400" operator="containsText" text="highlight">
      <formula>ISBLANK(C464)</formula>
    </cfRule>
  </conditionalFormatting>
  <conditionalFormatting sqref="D464">
    <cfRule type="containsText" dxfId="124" priority="1401" operator="containsText" text="highlight">
      <formula>ISBLANK(D464)</formula>
    </cfRule>
  </conditionalFormatting>
  <conditionalFormatting sqref="F464">
    <cfRule type="containsText" dxfId="123" priority="1402" operator="containsText" text="highlight">
      <formula>ISBLANK(F464)</formula>
    </cfRule>
  </conditionalFormatting>
  <conditionalFormatting sqref="I464">
    <cfRule type="containsText" dxfId="122" priority="1403" operator="containsText" text="highlight">
      <formula>ISBLANK(I464)</formula>
    </cfRule>
    <cfRule type="containsText" dxfId="121" priority="1404" operator="containsText" text="highlight">
      <formula>I464="Fail"</formula>
    </cfRule>
    <cfRule type="containsText" dxfId="120" priority="1405" operator="containsText" text="highlight">
      <formula>I464="Pass"</formula>
    </cfRule>
  </conditionalFormatting>
  <conditionalFormatting sqref="C465">
    <cfRule type="containsText" dxfId="119" priority="1406" operator="containsText" text="highlight">
      <formula>ISBLANK(C465)</formula>
    </cfRule>
  </conditionalFormatting>
  <conditionalFormatting sqref="D465">
    <cfRule type="containsText" dxfId="118" priority="1407" operator="containsText" text="highlight">
      <formula>ISBLANK(D465)</formula>
    </cfRule>
  </conditionalFormatting>
  <conditionalFormatting sqref="F465">
    <cfRule type="containsText" dxfId="117" priority="1408" operator="containsText" text="highlight">
      <formula>ISBLANK(F465)</formula>
    </cfRule>
  </conditionalFormatting>
  <conditionalFormatting sqref="I465">
    <cfRule type="containsText" dxfId="116" priority="1409" operator="containsText" text="highlight">
      <formula>ISBLANK(I465)</formula>
    </cfRule>
    <cfRule type="containsText" dxfId="115" priority="1410" operator="containsText" text="highlight">
      <formula>I465="Fail"</formula>
    </cfRule>
    <cfRule type="containsText" dxfId="114" priority="1411" operator="containsText" text="highlight">
      <formula>I465="Pass"</formula>
    </cfRule>
  </conditionalFormatting>
  <conditionalFormatting sqref="C466">
    <cfRule type="containsText" dxfId="113" priority="1412" operator="containsText" text="highlight">
      <formula>ISBLANK(C466)</formula>
    </cfRule>
  </conditionalFormatting>
  <conditionalFormatting sqref="D466">
    <cfRule type="containsText" dxfId="112" priority="1413" operator="containsText" text="highlight">
      <formula>ISBLANK(D466)</formula>
    </cfRule>
  </conditionalFormatting>
  <conditionalFormatting sqref="F466">
    <cfRule type="containsText" dxfId="111" priority="1414" operator="containsText" text="highlight">
      <formula>ISBLANK(F466)</formula>
    </cfRule>
  </conditionalFormatting>
  <conditionalFormatting sqref="I466">
    <cfRule type="containsText" dxfId="110" priority="1415" operator="containsText" text="highlight">
      <formula>ISBLANK(I466)</formula>
    </cfRule>
    <cfRule type="containsText" dxfId="109" priority="1416" operator="containsText" text="highlight">
      <formula>I466="Fail"</formula>
    </cfRule>
    <cfRule type="containsText" dxfId="108" priority="1417" operator="containsText" text="highlight">
      <formula>I466="Pass"</formula>
    </cfRule>
  </conditionalFormatting>
  <conditionalFormatting sqref="C467">
    <cfRule type="containsText" dxfId="107" priority="1418" operator="containsText" text="highlight">
      <formula>ISBLANK(C467)</formula>
    </cfRule>
  </conditionalFormatting>
  <conditionalFormatting sqref="D467">
    <cfRule type="containsText" dxfId="106" priority="1419" operator="containsText" text="highlight">
      <formula>ISBLANK(D467)</formula>
    </cfRule>
  </conditionalFormatting>
  <conditionalFormatting sqref="F467">
    <cfRule type="containsText" dxfId="105" priority="1420" operator="containsText" text="highlight">
      <formula>ISBLANK(F467)</formula>
    </cfRule>
  </conditionalFormatting>
  <conditionalFormatting sqref="I467">
    <cfRule type="containsText" dxfId="104" priority="1421" operator="containsText" text="highlight">
      <formula>ISBLANK(I467)</formula>
    </cfRule>
    <cfRule type="containsText" dxfId="103" priority="1422" operator="containsText" text="highlight">
      <formula>I467="Fail"</formula>
    </cfRule>
    <cfRule type="containsText" dxfId="102" priority="1423" operator="containsText" text="highlight">
      <formula>I467="Pass"</formula>
    </cfRule>
  </conditionalFormatting>
  <conditionalFormatting sqref="C468">
    <cfRule type="containsText" dxfId="101" priority="1424" operator="containsText" text="highlight">
      <formula>ISBLANK(C468)</formula>
    </cfRule>
  </conditionalFormatting>
  <conditionalFormatting sqref="D468">
    <cfRule type="containsText" dxfId="100" priority="1425" operator="containsText" text="highlight">
      <formula>ISBLANK(D468)</formula>
    </cfRule>
  </conditionalFormatting>
  <conditionalFormatting sqref="F468">
    <cfRule type="containsText" dxfId="99" priority="1426" operator="containsText" text="highlight">
      <formula>ISBLANK(F468)</formula>
    </cfRule>
  </conditionalFormatting>
  <conditionalFormatting sqref="I468">
    <cfRule type="containsText" dxfId="98" priority="1427" operator="containsText" text="highlight">
      <formula>ISBLANK(I468)</formula>
    </cfRule>
    <cfRule type="containsText" dxfId="97" priority="1428" operator="containsText" text="highlight">
      <formula>I468="Fail"</formula>
    </cfRule>
    <cfRule type="containsText" dxfId="96" priority="1429" operator="containsText" text="highlight">
      <formula>I468="Pass"</formula>
    </cfRule>
  </conditionalFormatting>
  <conditionalFormatting sqref="C469">
    <cfRule type="containsText" dxfId="95" priority="1430" operator="containsText" text="highlight">
      <formula>ISBLANK(C469)</formula>
    </cfRule>
  </conditionalFormatting>
  <conditionalFormatting sqref="D469">
    <cfRule type="containsText" dxfId="94" priority="1431" operator="containsText" text="highlight">
      <formula>ISBLANK(D469)</formula>
    </cfRule>
  </conditionalFormatting>
  <conditionalFormatting sqref="F469">
    <cfRule type="containsText" dxfId="93" priority="1432" operator="containsText" text="highlight">
      <formula>ISBLANK(F469)</formula>
    </cfRule>
  </conditionalFormatting>
  <conditionalFormatting sqref="I469">
    <cfRule type="containsText" dxfId="92" priority="1433" operator="containsText" text="highlight">
      <formula>ISBLANK(I469)</formula>
    </cfRule>
    <cfRule type="containsText" dxfId="91" priority="1434" operator="containsText" text="highlight">
      <formula>I469="Fail"</formula>
    </cfRule>
    <cfRule type="containsText" dxfId="90" priority="1435" operator="containsText" text="highlight">
      <formula>I469="Pass"</formula>
    </cfRule>
  </conditionalFormatting>
  <conditionalFormatting sqref="C470">
    <cfRule type="containsText" dxfId="89" priority="1436" operator="containsText" text="highlight">
      <formula>ISBLANK(C470)</formula>
    </cfRule>
  </conditionalFormatting>
  <conditionalFormatting sqref="D470">
    <cfRule type="containsText" dxfId="88" priority="1437" operator="containsText" text="highlight">
      <formula>ISBLANK(D470)</formula>
    </cfRule>
  </conditionalFormatting>
  <conditionalFormatting sqref="F470">
    <cfRule type="containsText" dxfId="87" priority="1438" operator="containsText" text="highlight">
      <formula>ISBLANK(F470)</formula>
    </cfRule>
  </conditionalFormatting>
  <conditionalFormatting sqref="I470">
    <cfRule type="containsText" dxfId="86" priority="1439" operator="containsText" text="highlight">
      <formula>ISBLANK(I470)</formula>
    </cfRule>
    <cfRule type="containsText" dxfId="85" priority="1440" operator="containsText" text="highlight">
      <formula>I470="Fail"</formula>
    </cfRule>
    <cfRule type="containsText" dxfId="84" priority="1441" operator="containsText" text="highlight">
      <formula>I470="Pass"</formula>
    </cfRule>
  </conditionalFormatting>
  <conditionalFormatting sqref="C471">
    <cfRule type="containsText" dxfId="83" priority="1442" operator="containsText" text="highlight">
      <formula>ISBLANK(C471)</formula>
    </cfRule>
  </conditionalFormatting>
  <conditionalFormatting sqref="D471">
    <cfRule type="containsText" dxfId="82" priority="1443" operator="containsText" text="highlight">
      <formula>ISBLANK(D471)</formula>
    </cfRule>
  </conditionalFormatting>
  <conditionalFormatting sqref="F471">
    <cfRule type="containsText" dxfId="81" priority="1444" operator="containsText" text="highlight">
      <formula>ISBLANK(F471)</formula>
    </cfRule>
  </conditionalFormatting>
  <conditionalFormatting sqref="I471">
    <cfRule type="containsText" dxfId="80" priority="1445" operator="containsText" text="highlight">
      <formula>ISBLANK(I471)</formula>
    </cfRule>
    <cfRule type="containsText" dxfId="79" priority="1446" operator="containsText" text="highlight">
      <formula>I471="Fail"</formula>
    </cfRule>
    <cfRule type="containsText" dxfId="78" priority="1447" operator="containsText" text="highlight">
      <formula>I471="Pass"</formula>
    </cfRule>
  </conditionalFormatting>
  <conditionalFormatting sqref="C472">
    <cfRule type="containsText" dxfId="77" priority="1448" operator="containsText" text="highlight">
      <formula>ISBLANK(C472)</formula>
    </cfRule>
  </conditionalFormatting>
  <conditionalFormatting sqref="D472">
    <cfRule type="containsText" dxfId="76" priority="1449" operator="containsText" text="highlight">
      <formula>ISBLANK(D472)</formula>
    </cfRule>
  </conditionalFormatting>
  <conditionalFormatting sqref="F472">
    <cfRule type="containsText" dxfId="75" priority="1450" operator="containsText" text="highlight">
      <formula>ISBLANK(F472)</formula>
    </cfRule>
  </conditionalFormatting>
  <conditionalFormatting sqref="I472">
    <cfRule type="containsText" dxfId="74" priority="1451" operator="containsText" text="highlight">
      <formula>ISBLANK(I472)</formula>
    </cfRule>
    <cfRule type="containsText" dxfId="73" priority="1452" operator="containsText" text="highlight">
      <formula>I472="Fail"</formula>
    </cfRule>
    <cfRule type="containsText" dxfId="72" priority="1453" operator="containsText" text="highlight">
      <formula>I472="Pass"</formula>
    </cfRule>
  </conditionalFormatting>
  <conditionalFormatting sqref="C473">
    <cfRule type="containsText" dxfId="71" priority="1454" operator="containsText" text="highlight">
      <formula>ISBLANK(C473)</formula>
    </cfRule>
  </conditionalFormatting>
  <conditionalFormatting sqref="D473">
    <cfRule type="containsText" dxfId="70" priority="1455" operator="containsText" text="highlight">
      <formula>ISBLANK(D473)</formula>
    </cfRule>
  </conditionalFormatting>
  <conditionalFormatting sqref="F473">
    <cfRule type="containsText" dxfId="69" priority="1456" operator="containsText" text="highlight">
      <formula>ISBLANK(F473)</formula>
    </cfRule>
  </conditionalFormatting>
  <conditionalFormatting sqref="I473">
    <cfRule type="containsText" dxfId="68" priority="1457" operator="containsText" text="highlight">
      <formula>ISBLANK(I473)</formula>
    </cfRule>
    <cfRule type="containsText" dxfId="67" priority="1458" operator="containsText" text="highlight">
      <formula>I473="Fail"</formula>
    </cfRule>
    <cfRule type="containsText" dxfId="66" priority="1459" operator="containsText" text="highlight">
      <formula>I473="Pass"</formula>
    </cfRule>
  </conditionalFormatting>
  <conditionalFormatting sqref="C474">
    <cfRule type="containsText" dxfId="65" priority="1460" operator="containsText" text="highlight">
      <formula>ISBLANK(C474)</formula>
    </cfRule>
  </conditionalFormatting>
  <conditionalFormatting sqref="D474">
    <cfRule type="containsText" dxfId="64" priority="1461" operator="containsText" text="highlight">
      <formula>ISBLANK(D474)</formula>
    </cfRule>
  </conditionalFormatting>
  <conditionalFormatting sqref="F474">
    <cfRule type="containsText" dxfId="63" priority="1462" operator="containsText" text="highlight">
      <formula>ISBLANK(F474)</formula>
    </cfRule>
  </conditionalFormatting>
  <conditionalFormatting sqref="I474">
    <cfRule type="containsText" dxfId="62" priority="1463" operator="containsText" text="highlight">
      <formula>ISBLANK(I474)</formula>
    </cfRule>
    <cfRule type="containsText" dxfId="61" priority="1464" operator="containsText" text="highlight">
      <formula>I474="Fail"</formula>
    </cfRule>
    <cfRule type="containsText" dxfId="60" priority="1465" operator="containsText" text="highlight">
      <formula>I474="Pass"</formula>
    </cfRule>
  </conditionalFormatting>
  <conditionalFormatting sqref="C475">
    <cfRule type="containsText" dxfId="59" priority="1466" operator="containsText" text="highlight">
      <formula>ISBLANK(C475)</formula>
    </cfRule>
  </conditionalFormatting>
  <conditionalFormatting sqref="D475">
    <cfRule type="containsText" dxfId="58" priority="1467" operator="containsText" text="highlight">
      <formula>ISBLANK(D475)</formula>
    </cfRule>
  </conditionalFormatting>
  <conditionalFormatting sqref="F475">
    <cfRule type="containsText" dxfId="57" priority="1468" operator="containsText" text="highlight">
      <formula>ISBLANK(F475)</formula>
    </cfRule>
  </conditionalFormatting>
  <conditionalFormatting sqref="I475">
    <cfRule type="containsText" dxfId="56" priority="1469" operator="containsText" text="highlight">
      <formula>ISBLANK(I475)</formula>
    </cfRule>
    <cfRule type="containsText" dxfId="55" priority="1470" operator="containsText" text="highlight">
      <formula>I475="Fail"</formula>
    </cfRule>
    <cfRule type="containsText" dxfId="54" priority="1471" operator="containsText" text="highlight">
      <formula>I475="Pass"</formula>
    </cfRule>
  </conditionalFormatting>
  <conditionalFormatting sqref="C476">
    <cfRule type="containsText" dxfId="53" priority="1472" operator="containsText" text="highlight">
      <formula>ISBLANK(C476)</formula>
    </cfRule>
  </conditionalFormatting>
  <conditionalFormatting sqref="D476">
    <cfRule type="containsText" dxfId="52" priority="1473" operator="containsText" text="highlight">
      <formula>ISBLANK(D476)</formula>
    </cfRule>
  </conditionalFormatting>
  <conditionalFormatting sqref="F476">
    <cfRule type="containsText" dxfId="51" priority="1474" operator="containsText" text="highlight">
      <formula>ISBLANK(F476)</formula>
    </cfRule>
  </conditionalFormatting>
  <conditionalFormatting sqref="I476">
    <cfRule type="containsText" dxfId="50" priority="1475" operator="containsText" text="highlight">
      <formula>ISBLANK(I476)</formula>
    </cfRule>
    <cfRule type="containsText" dxfId="49" priority="1476" operator="containsText" text="highlight">
      <formula>I476="Fail"</formula>
    </cfRule>
    <cfRule type="containsText" dxfId="48" priority="1477" operator="containsText" text="highlight">
      <formula>I476="Pass"</formula>
    </cfRule>
  </conditionalFormatting>
  <conditionalFormatting sqref="C477">
    <cfRule type="containsText" dxfId="47" priority="1478" operator="containsText" text="highlight">
      <formula>ISBLANK(C477)</formula>
    </cfRule>
  </conditionalFormatting>
  <conditionalFormatting sqref="D477">
    <cfRule type="containsText" dxfId="46" priority="1479" operator="containsText" text="highlight">
      <formula>ISBLANK(D477)</formula>
    </cfRule>
  </conditionalFormatting>
  <conditionalFormatting sqref="F477">
    <cfRule type="containsText" dxfId="45" priority="1480" operator="containsText" text="highlight">
      <formula>ISBLANK(F477)</formula>
    </cfRule>
  </conditionalFormatting>
  <conditionalFormatting sqref="I477">
    <cfRule type="containsText" dxfId="44" priority="1481" operator="containsText" text="highlight">
      <formula>ISBLANK(I477)</formula>
    </cfRule>
    <cfRule type="containsText" dxfId="43" priority="1482" operator="containsText" text="highlight">
      <formula>I477="Fail"</formula>
    </cfRule>
    <cfRule type="containsText" dxfId="42" priority="1483" operator="containsText" text="highlight">
      <formula>I477="Pass"</formula>
    </cfRule>
  </conditionalFormatting>
  <conditionalFormatting sqref="C478">
    <cfRule type="containsText" dxfId="41" priority="1484" operator="containsText" text="highlight">
      <formula>ISBLANK(C478)</formula>
    </cfRule>
  </conditionalFormatting>
  <conditionalFormatting sqref="D478">
    <cfRule type="containsText" dxfId="40" priority="1485" operator="containsText" text="highlight">
      <formula>ISBLANK(D478)</formula>
    </cfRule>
  </conditionalFormatting>
  <conditionalFormatting sqref="F478">
    <cfRule type="containsText" dxfId="39" priority="1486" operator="containsText" text="highlight">
      <formula>ISBLANK(F478)</formula>
    </cfRule>
  </conditionalFormatting>
  <conditionalFormatting sqref="I478">
    <cfRule type="containsText" dxfId="38" priority="1487" operator="containsText" text="highlight">
      <formula>ISBLANK(I478)</formula>
    </cfRule>
    <cfRule type="containsText" dxfId="37" priority="1488" operator="containsText" text="highlight">
      <formula>I478="Fail"</formula>
    </cfRule>
    <cfRule type="containsText" dxfId="36" priority="1489" operator="containsText" text="highlight">
      <formula>I478="Pass"</formula>
    </cfRule>
  </conditionalFormatting>
  <conditionalFormatting sqref="C479">
    <cfRule type="containsText" dxfId="35" priority="1490" operator="containsText" text="highlight">
      <formula>ISBLANK(C479)</formula>
    </cfRule>
  </conditionalFormatting>
  <conditionalFormatting sqref="D479">
    <cfRule type="containsText" dxfId="34" priority="1491" operator="containsText" text="highlight">
      <formula>ISBLANK(D479)</formula>
    </cfRule>
  </conditionalFormatting>
  <conditionalFormatting sqref="F479">
    <cfRule type="containsText" dxfId="33" priority="1492" operator="containsText" text="highlight">
      <formula>ISBLANK(F479)</formula>
    </cfRule>
  </conditionalFormatting>
  <conditionalFormatting sqref="I479">
    <cfRule type="containsText" dxfId="32" priority="1493" operator="containsText" text="highlight">
      <formula>ISBLANK(I479)</formula>
    </cfRule>
    <cfRule type="containsText" dxfId="31" priority="1494" operator="containsText" text="highlight">
      <formula>I479="Fail"</formula>
    </cfRule>
    <cfRule type="containsText" dxfId="30" priority="1495" operator="containsText" text="highlight">
      <formula>I479="Pass"</formula>
    </cfRule>
  </conditionalFormatting>
  <conditionalFormatting sqref="C480">
    <cfRule type="containsText" dxfId="29" priority="1496" operator="containsText" text="highlight">
      <formula>ISBLANK(C480)</formula>
    </cfRule>
  </conditionalFormatting>
  <conditionalFormatting sqref="D480">
    <cfRule type="containsText" dxfId="28" priority="1497" operator="containsText" text="highlight">
      <formula>ISBLANK(D480)</formula>
    </cfRule>
  </conditionalFormatting>
  <conditionalFormatting sqref="F480">
    <cfRule type="containsText" dxfId="27" priority="1498" operator="containsText" text="highlight">
      <formula>ISBLANK(F480)</formula>
    </cfRule>
  </conditionalFormatting>
  <conditionalFormatting sqref="I480">
    <cfRule type="containsText" dxfId="26" priority="1499" operator="containsText" text="highlight">
      <formula>ISBLANK(I480)</formula>
    </cfRule>
    <cfRule type="containsText" dxfId="25" priority="1500" operator="containsText" text="highlight">
      <formula>I480="Fail"</formula>
    </cfRule>
    <cfRule type="containsText" dxfId="24" priority="1501" operator="containsText" text="highlight">
      <formula>I480="Pass"</formula>
    </cfRule>
  </conditionalFormatting>
  <conditionalFormatting sqref="C481">
    <cfRule type="containsText" dxfId="23" priority="1502" operator="containsText" text="highlight">
      <formula>ISBLANK(C481)</formula>
    </cfRule>
  </conditionalFormatting>
  <conditionalFormatting sqref="D481">
    <cfRule type="containsText" dxfId="22" priority="1503" operator="containsText" text="highlight">
      <formula>ISBLANK(D481)</formula>
    </cfRule>
  </conditionalFormatting>
  <conditionalFormatting sqref="F481">
    <cfRule type="containsText" dxfId="21" priority="1504" operator="containsText" text="highlight">
      <formula>ISBLANK(F481)</formula>
    </cfRule>
  </conditionalFormatting>
  <conditionalFormatting sqref="I481">
    <cfRule type="containsText" dxfId="20" priority="1505" operator="containsText" text="highlight">
      <formula>ISBLANK(I481)</formula>
    </cfRule>
    <cfRule type="containsText" dxfId="19" priority="1506" operator="containsText" text="highlight">
      <formula>I481="Fail"</formula>
    </cfRule>
    <cfRule type="containsText" dxfId="18" priority="1507" operator="containsText" text="highlight">
      <formula>I481="Pass"</formula>
    </cfRule>
  </conditionalFormatting>
  <conditionalFormatting sqref="C482">
    <cfRule type="containsText" dxfId="17" priority="1508" operator="containsText" text="highlight">
      <formula>ISBLANK(C482)</formula>
    </cfRule>
  </conditionalFormatting>
  <conditionalFormatting sqref="D482">
    <cfRule type="containsText" dxfId="16" priority="1509" operator="containsText" text="highlight">
      <formula>ISBLANK(D482)</formula>
    </cfRule>
  </conditionalFormatting>
  <conditionalFormatting sqref="F482">
    <cfRule type="containsText" dxfId="15" priority="1510" operator="containsText" text="highlight">
      <formula>ISBLANK(F482)</formula>
    </cfRule>
  </conditionalFormatting>
  <conditionalFormatting sqref="I482">
    <cfRule type="containsText" dxfId="14" priority="1511" operator="containsText" text="highlight">
      <formula>ISBLANK(I482)</formula>
    </cfRule>
    <cfRule type="containsText" dxfId="13" priority="1512" operator="containsText" text="highlight">
      <formula>I482="Fail"</formula>
    </cfRule>
    <cfRule type="containsText" dxfId="12" priority="1513" operator="containsText" text="highlight">
      <formula>I482="Pass"</formula>
    </cfRule>
  </conditionalFormatting>
  <conditionalFormatting sqref="D486">
    <cfRule type="containsText" dxfId="11" priority="1514" operator="containsText" text="highlight">
      <formula>ISBLANK(D486)</formula>
    </cfRule>
  </conditionalFormatting>
  <conditionalFormatting sqref="F486">
    <cfRule type="containsText" dxfId="10" priority="1515" operator="containsText" text="highlight">
      <formula>F486="Fail"</formula>
    </cfRule>
    <cfRule type="containsText" dxfId="9" priority="1516" operator="containsText" text="highlight">
      <formula>F486="Pass"</formula>
    </cfRule>
  </conditionalFormatting>
  <conditionalFormatting sqref="D487">
    <cfRule type="containsText" dxfId="8" priority="1517" operator="containsText" text="highlight">
      <formula>ISBLANK(D487)</formula>
    </cfRule>
  </conditionalFormatting>
  <conditionalFormatting sqref="F487">
    <cfRule type="containsText" dxfId="7" priority="1518" operator="containsText" text="highlight">
      <formula>F487="Fail"</formula>
    </cfRule>
    <cfRule type="containsText" dxfId="6" priority="1519" operator="containsText" text="highlight">
      <formula>F487="Pass"</formula>
    </cfRule>
  </conditionalFormatting>
  <conditionalFormatting sqref="C491">
    <cfRule type="containsText" dxfId="5" priority="1520" operator="containsText" text="highlight">
      <formula>ISBLANK(C491)</formula>
    </cfRule>
  </conditionalFormatting>
  <conditionalFormatting sqref="F491">
    <cfRule type="containsText" dxfId="4" priority="1521" operator="containsText" text="highlight">
      <formula>F491="Fail"</formula>
    </cfRule>
    <cfRule type="containsText" dxfId="3" priority="1522" operator="containsText" text="highlight">
      <formula>F491="Pass"</formula>
    </cfRule>
  </conditionalFormatting>
  <conditionalFormatting sqref="C492">
    <cfRule type="containsText" dxfId="2" priority="1523" operator="containsText" text="highlight">
      <formula>ISBLANK(C492)</formula>
    </cfRule>
  </conditionalFormatting>
  <conditionalFormatting sqref="F492">
    <cfRule type="containsText" dxfId="1" priority="1524" operator="containsText" text="highlight">
      <formula>F492="Fail"</formula>
    </cfRule>
    <cfRule type="containsText" dxfId="0" priority="1525" operator="containsText" text="highlight">
      <formula>F492="Pass"</formula>
    </cfRule>
  </conditionalFormatting>
  <pageMargins left="0.75" right="0.75" top="1" bottom="1" header="0.5" footer="0.5"/>
  <pageSetup paperSize="9" scale="55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2022-12-14T04:58:02Z</dcterms:modified>
</cp:coreProperties>
</file>