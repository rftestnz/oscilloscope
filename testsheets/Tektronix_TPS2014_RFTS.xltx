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EMU\datafiles\Oscilloscope\"/>
    </mc:Choice>
  </mc:AlternateContent>
  <xr:revisionPtr revIDLastSave="0" documentId="13_ncr:1_{4D75D2DC-DF4A-4D4F-9200-0FE5E54A05E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Sheet!$A$1:$G$60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5" i="1" l="1"/>
  <c r="F41" i="1"/>
  <c r="D41" i="1"/>
  <c r="F40" i="1"/>
  <c r="D40" i="1"/>
  <c r="F39" i="1"/>
  <c r="D39" i="1"/>
  <c r="F38" i="1"/>
  <c r="D38" i="1"/>
  <c r="G34" i="1"/>
  <c r="G33" i="1"/>
  <c r="G32" i="1"/>
  <c r="G30" i="1"/>
  <c r="G29" i="1"/>
  <c r="G28" i="1"/>
  <c r="G26" i="1"/>
  <c r="G25" i="1"/>
  <c r="G24" i="1"/>
  <c r="G22" i="1"/>
  <c r="G21" i="1"/>
  <c r="G20" i="1"/>
</calcChain>
</file>

<file path=xl/sharedStrings.xml><?xml version="1.0" encoding="utf-8"?>
<sst xmlns="http://schemas.openxmlformats.org/spreadsheetml/2006/main" count="116" uniqueCount="57">
  <si>
    <t>EMU Filename:</t>
  </si>
  <si>
    <t>TEK_TPS2014_RFTS</t>
  </si>
  <si>
    <t>PERFORMANCE TEST CARD (AS RECEIVED AND AS COMPLETED</t>
  </si>
  <si>
    <t>DATE:</t>
  </si>
  <si>
    <t>REPORT NUMBER:</t>
  </si>
  <si>
    <t>MODEL NUMBER:</t>
  </si>
  <si>
    <t>TPS2014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</si>
  <si>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</si>
  <si>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</si>
  <si>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</si>
  <si>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</si>
  <si>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</si>
  <si>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</si>
  <si>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</si>
  <si>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</si>
  <si>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</si>
  <si>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</si>
  <si>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</si>
  <si>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</si>
  <si>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</si>
  <si>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</si>
  <si>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RFTS_TEKTPS2014</t>
  </si>
  <si>
    <t>ISSUE:</t>
  </si>
  <si>
    <t>A.00.01</t>
  </si>
  <si>
    <t>Self Test</t>
  </si>
  <si>
    <t>Test Condition</t>
  </si>
  <si>
    <t>Result</t>
  </si>
  <si>
    <t>Pass/Fail</t>
  </si>
  <si>
    <t>PASS/FAIL</t>
  </si>
  <si>
    <t>Gain Accuracy</t>
  </si>
  <si>
    <t>Range / Div</t>
  </si>
  <si>
    <t>Applied</t>
  </si>
  <si>
    <t>Minimum</t>
  </si>
  <si>
    <t>Measured</t>
  </si>
  <si>
    <t>Maximum</t>
  </si>
  <si>
    <t>Units</t>
  </si>
  <si>
    <t>Channel 1</t>
  </si>
  <si>
    <t>5 mV</t>
  </si>
  <si>
    <t>mV</t>
  </si>
  <si>
    <t>200 mV</t>
  </si>
  <si>
    <t>V</t>
  </si>
  <si>
    <t>2 V</t>
  </si>
  <si>
    <t>Channel 2</t>
  </si>
  <si>
    <t>Channel 3</t>
  </si>
  <si>
    <t>Channel 4</t>
  </si>
  <si>
    <t>Bandwidth</t>
  </si>
  <si>
    <t>Test Conditions</t>
  </si>
  <si>
    <t>Rise Time (measured)</t>
  </si>
  <si>
    <t>Lower Limit</t>
  </si>
  <si>
    <t>Bandwidth (Calculated)</t>
  </si>
  <si>
    <t>MHz</t>
  </si>
  <si>
    <t>Sample Rate &amp; Delay Time Accuracy</t>
  </si>
  <si>
    <t>Div</t>
  </si>
  <si>
    <t>Edge Trigger Sensitivity</t>
  </si>
  <si>
    <t>Stable Trigger</t>
  </si>
  <si>
    <t>External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</si>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</sst>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;@"/>
    <numFmt numFmtId="165" formatCode="#\ &quot;mV&quot;"/>
    <numFmt numFmtId="166" formatCode="#\ &quot;V&quot;"/>
    <numFmt numFmtId="167" formatCode="#\ &quot;ns&quot;"/>
  </numFmts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0" fillId="3" borderId="4" xfId="0" applyFill="1" applyBorder="1"/>
    <xf numFmtId="0" fontId="0" fillId="3" borderId="3" xfId="0" applyFill="1" applyBorder="1"/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67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5" fillId="0" borderId="0" xfId="0" applyFont="1"/>
  </cellXfs>
  <cellStyles count="1">
    <cellStyle name="Normal" xfId="0" builtinId="0"/>
  </cellStyles>
  <dxfs count="81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60"/>
  <sheetViews>
    <sheetView tabSelected="1" view="pageBreakPreview" workbookViewId="0">
      <selection activeCell="B5" sqref="B5"/>
    </sheetView>
  </sheetViews>
  <sheetFormatPr defaultRowHeight="15" x14ac:dyDescent="0.25"/>
  <cols>
    <col min="1" max="1" width="24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27</v>
      </c>
    </row>
    <row r="15" spans="1:11" x14ac:dyDescent="0.25">
      <c r="A15" s="6" t="s">
        <v>24</v>
      </c>
      <c r="B15" s="6" t="s">
        <v>28</v>
      </c>
      <c r="C15" s="6"/>
      <c r="J15" t="s">
        <v>28</v>
      </c>
    </row>
    <row r="17" spans="1:7" ht="15.75" x14ac:dyDescent="0.25">
      <c r="A17" s="4" t="s">
        <v>29</v>
      </c>
    </row>
    <row r="18" spans="1:7" x14ac:dyDescent="0.25">
      <c r="A18" s="5" t="s">
        <v>30</v>
      </c>
      <c r="B18" s="5" t="s">
        <v>31</v>
      </c>
      <c r="C18" s="5" t="s">
        <v>32</v>
      </c>
      <c r="D18" s="5" t="s">
        <v>33</v>
      </c>
      <c r="E18" s="5" t="s">
        <v>34</v>
      </c>
      <c r="F18" s="5" t="s">
        <v>35</v>
      </c>
      <c r="G18" s="5" t="s">
        <v>27</v>
      </c>
    </row>
    <row r="19" spans="1:7" x14ac:dyDescent="0.25">
      <c r="A19" s="7" t="s">
        <v>36</v>
      </c>
      <c r="B19" s="8"/>
      <c r="C19" s="8"/>
      <c r="D19" s="8"/>
      <c r="E19" s="8"/>
      <c r="F19" s="8"/>
      <c r="G19" s="9"/>
    </row>
    <row r="20" spans="1:7" x14ac:dyDescent="0.25">
      <c r="A20" s="6" t="s">
        <v>37</v>
      </c>
      <c r="B20" s="10">
        <v>35</v>
      </c>
      <c r="C20" s="6">
        <v>33.6</v>
      </c>
      <c r="D20" s="6"/>
      <c r="E20" s="6">
        <v>36.4</v>
      </c>
      <c r="F20" s="6" t="s">
        <v>38</v>
      </c>
      <c r="G20" s="6" t="str">
        <f>IF(ISBLANK(D20),"Not Done",IF(AND(D20&lt;=E20,D20&gt;=C20),"Pass","Fail"))</f>
        <v>Not Done</v>
      </c>
    </row>
    <row r="21" spans="1:7" x14ac:dyDescent="0.25">
      <c r="A21" s="6" t="s">
        <v>39</v>
      </c>
      <c r="B21" s="11">
        <v>1.4</v>
      </c>
      <c r="C21" s="6">
        <v>1.3580000000000001</v>
      </c>
      <c r="D21" s="6"/>
      <c r="E21" s="6">
        <v>1.4419999999999999</v>
      </c>
      <c r="F21" s="6" t="s">
        <v>40</v>
      </c>
      <c r="G21" s="6" t="str">
        <f>IF(ISBLANK(D21),"Not Done",IF(AND(D21&lt;=E21,D21&gt;=C21),"Pass","Fail"))</f>
        <v>Not Done</v>
      </c>
    </row>
    <row r="22" spans="1:7" x14ac:dyDescent="0.25">
      <c r="A22" s="6" t="s">
        <v>41</v>
      </c>
      <c r="B22" s="11">
        <v>14</v>
      </c>
      <c r="C22" s="6">
        <v>13.58</v>
      </c>
      <c r="D22" s="6"/>
      <c r="E22" s="6">
        <v>14.42</v>
      </c>
      <c r="F22" s="6" t="s">
        <v>40</v>
      </c>
      <c r="G22" s="6" t="str">
        <f>IF(ISBLANK(D22),"Not Done",IF(AND(D22&lt;=E22,D22&gt;=C22),"Pass","Fail"))</f>
        <v>Not Done</v>
      </c>
    </row>
    <row r="23" spans="1:7" x14ac:dyDescent="0.25">
      <c r="A23" s="7" t="s">
        <v>42</v>
      </c>
      <c r="B23" s="8"/>
      <c r="C23" s="8"/>
      <c r="D23" s="8"/>
      <c r="E23" s="8"/>
      <c r="F23" s="8"/>
      <c r="G23" s="9"/>
    </row>
    <row r="24" spans="1:7" x14ac:dyDescent="0.25">
      <c r="A24" s="6" t="s">
        <v>37</v>
      </c>
      <c r="B24" s="10">
        <v>35</v>
      </c>
      <c r="C24" s="6">
        <v>33.6</v>
      </c>
      <c r="D24" s="6"/>
      <c r="E24" s="6">
        <v>36.4</v>
      </c>
      <c r="F24" s="6" t="s">
        <v>38</v>
      </c>
      <c r="G24" s="6" t="str">
        <f>IF(ISBLANK(D24),"Not Done",IF(AND(D24&lt;=E24,D24&gt;=C24),"Pass","Fail"))</f>
        <v>Not Done</v>
      </c>
    </row>
    <row r="25" spans="1:7" x14ac:dyDescent="0.25">
      <c r="A25" s="6" t="s">
        <v>39</v>
      </c>
      <c r="B25" s="11">
        <v>1.4</v>
      </c>
      <c r="C25" s="6">
        <v>1.3580000000000001</v>
      </c>
      <c r="D25" s="6"/>
      <c r="E25" s="6">
        <v>1.4419999999999999</v>
      </c>
      <c r="F25" s="6" t="s">
        <v>40</v>
      </c>
      <c r="G25" s="6" t="str">
        <f>IF(ISBLANK(D25),"Not Done",IF(AND(D25&lt;=E25,D25&gt;=C25),"Pass","Fail"))</f>
        <v>Not Done</v>
      </c>
    </row>
    <row r="26" spans="1:7" x14ac:dyDescent="0.25">
      <c r="A26" s="6" t="s">
        <v>41</v>
      </c>
      <c r="B26" s="11">
        <v>14</v>
      </c>
      <c r="C26" s="6">
        <v>13.58</v>
      </c>
      <c r="D26" s="6"/>
      <c r="E26" s="6">
        <v>14.42</v>
      </c>
      <c r="F26" s="6" t="s">
        <v>40</v>
      </c>
      <c r="G26" s="6" t="str">
        <f>IF(ISBLANK(D26),"Not Done",IF(AND(D26&lt;=E26,D26&gt;=C26),"Pass","Fail"))</f>
        <v>Not Done</v>
      </c>
    </row>
    <row r="27" spans="1:7" x14ac:dyDescent="0.25">
      <c r="A27" s="7" t="s">
        <v>43</v>
      </c>
      <c r="B27" s="8"/>
      <c r="C27" s="8"/>
      <c r="D27" s="8"/>
      <c r="E27" s="8"/>
      <c r="F27" s="8"/>
      <c r="G27" s="9"/>
    </row>
    <row r="28" spans="1:7" x14ac:dyDescent="0.25">
      <c r="A28" s="6" t="s">
        <v>37</v>
      </c>
      <c r="B28" s="10">
        <v>35</v>
      </c>
      <c r="C28" s="6">
        <v>33.6</v>
      </c>
      <c r="D28" s="6"/>
      <c r="E28" s="6">
        <v>36.4</v>
      </c>
      <c r="F28" s="6" t="s">
        <v>38</v>
      </c>
      <c r="G28" s="6" t="str">
        <f>IF(ISBLANK(D28),"Not Done",IF(AND(D28&lt;=E28,D28&gt;=C28),"Pass","Fail"))</f>
        <v>Not Done</v>
      </c>
    </row>
    <row r="29" spans="1:7" x14ac:dyDescent="0.25">
      <c r="A29" s="6" t="s">
        <v>39</v>
      </c>
      <c r="B29" s="11">
        <v>1.4</v>
      </c>
      <c r="C29" s="6">
        <v>1.3580000000000001</v>
      </c>
      <c r="D29" s="6"/>
      <c r="E29" s="6">
        <v>1.4419999999999999</v>
      </c>
      <c r="F29" s="6" t="s">
        <v>40</v>
      </c>
      <c r="G29" s="6" t="str">
        <f>IF(ISBLANK(D29),"Not Done",IF(AND(D29&lt;=E29,D29&gt;=C29),"Pass","Fail"))</f>
        <v>Not Done</v>
      </c>
    </row>
    <row r="30" spans="1:7" x14ac:dyDescent="0.25">
      <c r="A30" s="6" t="s">
        <v>41</v>
      </c>
      <c r="B30" s="11">
        <v>14</v>
      </c>
      <c r="C30" s="6">
        <v>13.58</v>
      </c>
      <c r="D30" s="6"/>
      <c r="E30" s="6">
        <v>14.42</v>
      </c>
      <c r="F30" s="6" t="s">
        <v>40</v>
      </c>
      <c r="G30" s="6" t="str">
        <f>IF(ISBLANK(D30),"Not Done",IF(AND(D30&lt;=E30,D30&gt;=C30),"Pass","Fail"))</f>
        <v>Not Done</v>
      </c>
    </row>
    <row r="31" spans="1:7" x14ac:dyDescent="0.25">
      <c r="A31" s="7" t="s">
        <v>44</v>
      </c>
      <c r="B31" s="8"/>
      <c r="C31" s="8"/>
      <c r="D31" s="8"/>
      <c r="E31" s="8"/>
      <c r="F31" s="8"/>
      <c r="G31" s="9"/>
    </row>
    <row r="32" spans="1:7" x14ac:dyDescent="0.25">
      <c r="A32" s="6" t="s">
        <v>37</v>
      </c>
      <c r="B32" s="10">
        <v>35</v>
      </c>
      <c r="C32" s="6">
        <v>33.6</v>
      </c>
      <c r="D32" s="6"/>
      <c r="E32" s="6">
        <v>36.4</v>
      </c>
      <c r="F32" s="6" t="s">
        <v>38</v>
      </c>
      <c r="G32" s="6" t="str">
        <f>IF(ISBLANK(D32),"Not Done",IF(AND(D32&lt;=E32,D32&gt;=C32),"Pass","Fail"))</f>
        <v>Not Done</v>
      </c>
    </row>
    <row r="33" spans="1:7" x14ac:dyDescent="0.25">
      <c r="A33" s="6" t="s">
        <v>39</v>
      </c>
      <c r="B33" s="11">
        <v>1.4</v>
      </c>
      <c r="C33" s="6">
        <v>1.3580000000000001</v>
      </c>
      <c r="D33" s="6"/>
      <c r="E33" s="6">
        <v>1.4419999999999999</v>
      </c>
      <c r="F33" s="6" t="s">
        <v>40</v>
      </c>
      <c r="G33" s="6" t="str">
        <f>IF(ISBLANK(D33),"Not Done",IF(AND(D33&lt;=E33,D33&gt;=C33),"Pass","Fail"))</f>
        <v>Not Done</v>
      </c>
    </row>
    <row r="34" spans="1:7" x14ac:dyDescent="0.25">
      <c r="A34" s="6" t="s">
        <v>41</v>
      </c>
      <c r="B34" s="11">
        <v>14</v>
      </c>
      <c r="C34" s="6">
        <v>13.58</v>
      </c>
      <c r="D34" s="6"/>
      <c r="E34" s="6">
        <v>14.42</v>
      </c>
      <c r="F34" s="6" t="s">
        <v>40</v>
      </c>
      <c r="G34" s="6" t="str">
        <f>IF(ISBLANK(D34),"Not Done",IF(AND(D34&lt;=E34,D34&gt;=C34),"Pass","Fail"))</f>
        <v>Not Done</v>
      </c>
    </row>
    <row r="36" spans="1:7" ht="15.75" x14ac:dyDescent="0.25">
      <c r="A36" s="4" t="s">
        <v>45</v>
      </c>
    </row>
    <row r="37" spans="1:7" ht="30" x14ac:dyDescent="0.25">
      <c r="A37" s="5" t="s">
        <v>46</v>
      </c>
      <c r="B37" s="12" t="s">
        <v>47</v>
      </c>
      <c r="C37" s="5" t="s">
        <v>48</v>
      </c>
      <c r="D37" s="12" t="s">
        <v>49</v>
      </c>
      <c r="E37" s="5" t="s">
        <v>35</v>
      </c>
      <c r="F37" s="5" t="s">
        <v>27</v>
      </c>
    </row>
    <row r="38" spans="1:7" x14ac:dyDescent="0.25">
      <c r="A38" s="6" t="s">
        <v>36</v>
      </c>
      <c r="B38" s="13"/>
      <c r="C38" s="6">
        <v>100</v>
      </c>
      <c r="D38" s="14" t="str">
        <f>IFERROR((350/B38),"Not Done")</f>
        <v>Not Done</v>
      </c>
      <c r="E38" s="6" t="s">
        <v>50</v>
      </c>
      <c r="F38" s="6" t="str">
        <f>IF(ISBLANK(B38),"Not Done",IF(D38&gt;=C38,"Pass","Fail"))</f>
        <v>Not Done</v>
      </c>
    </row>
    <row r="39" spans="1:7" x14ac:dyDescent="0.25">
      <c r="A39" s="6" t="s">
        <v>42</v>
      </c>
      <c r="B39" s="13"/>
      <c r="C39" s="6">
        <v>100</v>
      </c>
      <c r="D39" s="14" t="str">
        <f>IFERROR((350/B39),"Not Done")</f>
        <v>Not Done</v>
      </c>
      <c r="E39" s="6" t="s">
        <v>50</v>
      </c>
      <c r="F39" s="6" t="str">
        <f>IF(ISBLANK(B39),"Not Done",IF(D39&gt;=C39,"Pass","Fail"))</f>
        <v>Not Done</v>
      </c>
    </row>
    <row r="40" spans="1:7" x14ac:dyDescent="0.25">
      <c r="A40" s="6" t="s">
        <v>43</v>
      </c>
      <c r="B40" s="13"/>
      <c r="C40" s="6">
        <v>100</v>
      </c>
      <c r="D40" s="14" t="str">
        <f>IFERROR((350/B40),"Not Done")</f>
        <v>Not Done</v>
      </c>
      <c r="E40" s="6" t="s">
        <v>50</v>
      </c>
      <c r="F40" s="6" t="str">
        <f>IF(ISBLANK(B40),"Not Done",IF(D40&gt;=C40,"Pass","Fail"))</f>
        <v>Not Done</v>
      </c>
    </row>
    <row r="41" spans="1:7" x14ac:dyDescent="0.25">
      <c r="A41" s="6" t="s">
        <v>44</v>
      </c>
      <c r="B41" s="13"/>
      <c r="C41" s="6">
        <v>100</v>
      </c>
      <c r="D41" s="14" t="str">
        <f>IFERROR((350/B41),"Not Done")</f>
        <v>Not Done</v>
      </c>
      <c r="E41" s="6" t="s">
        <v>50</v>
      </c>
      <c r="F41" s="6" t="str">
        <f>IF(ISBLANK(B41),"Not Done",IF(D41&gt;=C41,"Pass","Fail"))</f>
        <v>Not Done</v>
      </c>
    </row>
    <row r="43" spans="1:7" ht="15.75" x14ac:dyDescent="0.25">
      <c r="A43" s="4" t="s">
        <v>51</v>
      </c>
    </row>
    <row r="44" spans="1:7" x14ac:dyDescent="0.25">
      <c r="A44" s="5" t="s">
        <v>25</v>
      </c>
      <c r="B44" s="5" t="s">
        <v>32</v>
      </c>
      <c r="C44" s="5" t="s">
        <v>33</v>
      </c>
      <c r="D44" s="5" t="s">
        <v>34</v>
      </c>
      <c r="E44" s="5" t="s">
        <v>35</v>
      </c>
      <c r="F44" s="5" t="s">
        <v>27</v>
      </c>
    </row>
    <row r="45" spans="1:7" x14ac:dyDescent="0.25">
      <c r="A45" s="6" t="s">
        <v>51</v>
      </c>
      <c r="B45" s="6">
        <v>-2</v>
      </c>
      <c r="C45" s="6"/>
      <c r="D45" s="6">
        <v>2</v>
      </c>
      <c r="E45" s="6" t="s">
        <v>52</v>
      </c>
      <c r="F45" s="6" t="str">
        <f>IF(ISBLANK(C45),"Not Done",IF(AND(C45&lt;=D45,C45&gt;=B45),"Pass","Fail"))</f>
        <v>Not Done</v>
      </c>
    </row>
    <row r="47" spans="1:7" ht="15.75" x14ac:dyDescent="0.25">
      <c r="A47" s="4" t="s">
        <v>53</v>
      </c>
    </row>
    <row r="48" spans="1:7" x14ac:dyDescent="0.25">
      <c r="A48" s="5" t="s">
        <v>25</v>
      </c>
      <c r="B48" s="5" t="s">
        <v>26</v>
      </c>
      <c r="C48" s="5" t="s">
        <v>27</v>
      </c>
    </row>
    <row r="49" spans="1:10" x14ac:dyDescent="0.25">
      <c r="A49" s="7" t="s">
        <v>36</v>
      </c>
      <c r="B49" s="8"/>
      <c r="C49" s="9"/>
    </row>
    <row r="50" spans="1:10" x14ac:dyDescent="0.25">
      <c r="A50" s="6" t="s">
        <v>54</v>
      </c>
      <c r="B50" s="6" t="s">
        <v>28</v>
      </c>
      <c r="C50" s="6"/>
      <c r="J50" t="s">
        <v>28</v>
      </c>
    </row>
    <row r="51" spans="1:10" x14ac:dyDescent="0.25">
      <c r="A51" s="7" t="s">
        <v>42</v>
      </c>
      <c r="B51" s="8"/>
      <c r="C51" s="9"/>
    </row>
    <row r="52" spans="1:10" x14ac:dyDescent="0.25">
      <c r="A52" s="6" t="s">
        <v>54</v>
      </c>
      <c r="B52" s="6" t="s">
        <v>28</v>
      </c>
      <c r="C52" s="6"/>
      <c r="J52" t="s">
        <v>28</v>
      </c>
    </row>
    <row r="53" spans="1:10" x14ac:dyDescent="0.25">
      <c r="A53" s="7" t="s">
        <v>43</v>
      </c>
      <c r="B53" s="8"/>
      <c r="C53" s="9"/>
    </row>
    <row r="54" spans="1:10" x14ac:dyDescent="0.25">
      <c r="A54" s="6" t="s">
        <v>54</v>
      </c>
      <c r="B54" s="6" t="s">
        <v>28</v>
      </c>
      <c r="C54" s="6"/>
      <c r="J54" t="s">
        <v>28</v>
      </c>
    </row>
    <row r="55" spans="1:10" x14ac:dyDescent="0.25">
      <c r="A55" s="7" t="s">
        <v>44</v>
      </c>
      <c r="B55" s="8"/>
      <c r="C55" s="9"/>
    </row>
    <row r="56" spans="1:10" x14ac:dyDescent="0.25">
      <c r="A56" s="6" t="s">
        <v>54</v>
      </c>
      <c r="B56" s="6" t="s">
        <v>28</v>
      </c>
      <c r="C56" s="6"/>
      <c r="J56" t="s">
        <v>28</v>
      </c>
    </row>
    <row r="57" spans="1:10" x14ac:dyDescent="0.25">
      <c r="A57" s="7" t="s">
        <v>55</v>
      </c>
      <c r="B57" s="8"/>
      <c r="C57" s="9"/>
    </row>
    <row r="58" spans="1:10" x14ac:dyDescent="0.25">
      <c r="A58" s="6" t="s">
        <v>54</v>
      </c>
      <c r="B58" s="6" t="s">
        <v>28</v>
      </c>
      <c r="C58" s="6"/>
      <c r="J58" t="s">
        <v>28</v>
      </c>
    </row>
    <row r="60" spans="1:10" x14ac:dyDescent="0.25">
      <c r="C60" s="15" t="s">
        <v>56</v>
      </c>
    </row>
  </sheetData>
  <conditionalFormatting sqref="B5">
    <cfRule type="containsText" dxfId="80" priority="1" operator="containsText" text="highlight">
      <formula>ISBLANK(B5)</formula>
    </cfRule>
  </conditionalFormatting>
  <conditionalFormatting sqref="F5">
    <cfRule type="containsText" dxfId="79" priority="2" operator="containsText" text="highlight">
      <formula>ISBLANK(F5)</formula>
    </cfRule>
  </conditionalFormatting>
  <conditionalFormatting sqref="B7">
    <cfRule type="containsText" dxfId="78" priority="3" operator="containsText" text="highlight">
      <formula>ISBLANK(B7)</formula>
    </cfRule>
  </conditionalFormatting>
  <conditionalFormatting sqref="F9">
    <cfRule type="containsText" dxfId="77" priority="4" operator="containsText" text="highlight">
      <formula>ISBLANK(F9)</formula>
    </cfRule>
  </conditionalFormatting>
  <conditionalFormatting sqref="B11">
    <cfRule type="containsText" dxfId="76" priority="5" operator="containsText" text="highlight">
      <formula>ISBLANK(B11)</formula>
    </cfRule>
  </conditionalFormatting>
  <conditionalFormatting sqref="F10">
    <cfRule type="containsText" dxfId="75" priority="6" operator="containsText" text="highlight">
      <formula>ISBLANK(F10)</formula>
    </cfRule>
  </conditionalFormatting>
  <conditionalFormatting sqref="B15">
    <cfRule type="containsText" dxfId="74" priority="7" operator="containsText" text="highlight">
      <formula>ISBLANK(B15)</formula>
    </cfRule>
  </conditionalFormatting>
  <conditionalFormatting sqref="C15">
    <cfRule type="containsText" dxfId="73" priority="8" operator="containsText" text="highlight">
      <formula>ISBLANK(C15)</formula>
    </cfRule>
    <cfRule type="containsText" dxfId="72" priority="9" operator="containsText" text="highlight">
      <formula>C15="Fail"</formula>
    </cfRule>
    <cfRule type="containsText" dxfId="71" priority="10" operator="containsText" text="highlight">
      <formula>C15="Pass"</formula>
    </cfRule>
  </conditionalFormatting>
  <conditionalFormatting sqref="D20">
    <cfRule type="containsText" dxfId="70" priority="11" operator="containsText" text="highlight">
      <formula>ISBLANK(D20)</formula>
    </cfRule>
  </conditionalFormatting>
  <conditionalFormatting sqref="G20">
    <cfRule type="containsText" dxfId="69" priority="12" operator="containsText" text="highlight">
      <formula>G20="Fail"</formula>
    </cfRule>
    <cfRule type="containsText" dxfId="68" priority="13" operator="containsText" text="highlight">
      <formula>G20="Pass"</formula>
    </cfRule>
  </conditionalFormatting>
  <conditionalFormatting sqref="D21">
    <cfRule type="containsText" dxfId="67" priority="14" operator="containsText" text="highlight">
      <formula>ISBLANK(D21)</formula>
    </cfRule>
  </conditionalFormatting>
  <conditionalFormatting sqref="G21">
    <cfRule type="containsText" dxfId="66" priority="15" operator="containsText" text="highlight">
      <formula>G21="Fail"</formula>
    </cfRule>
    <cfRule type="containsText" dxfId="65" priority="16" operator="containsText" text="highlight">
      <formula>G21="Pass"</formula>
    </cfRule>
  </conditionalFormatting>
  <conditionalFormatting sqref="D22">
    <cfRule type="containsText" dxfId="64" priority="17" operator="containsText" text="highlight">
      <formula>ISBLANK(D22)</formula>
    </cfRule>
  </conditionalFormatting>
  <conditionalFormatting sqref="G22">
    <cfRule type="containsText" dxfId="63" priority="18" operator="containsText" text="highlight">
      <formula>G22="Fail"</formula>
    </cfRule>
    <cfRule type="containsText" dxfId="62" priority="19" operator="containsText" text="highlight">
      <formula>G22="Pass"</formula>
    </cfRule>
  </conditionalFormatting>
  <conditionalFormatting sqref="D24">
    <cfRule type="containsText" dxfId="61" priority="20" operator="containsText" text="highlight">
      <formula>ISBLANK(D24)</formula>
    </cfRule>
  </conditionalFormatting>
  <conditionalFormatting sqref="G24">
    <cfRule type="containsText" dxfId="60" priority="21" operator="containsText" text="highlight">
      <formula>G24="Fail"</formula>
    </cfRule>
    <cfRule type="containsText" dxfId="59" priority="22" operator="containsText" text="highlight">
      <formula>G24="Pass"</formula>
    </cfRule>
  </conditionalFormatting>
  <conditionalFormatting sqref="D25">
    <cfRule type="containsText" dxfId="58" priority="23" operator="containsText" text="highlight">
      <formula>ISBLANK(D25)</formula>
    </cfRule>
  </conditionalFormatting>
  <conditionalFormatting sqref="G25">
    <cfRule type="containsText" dxfId="57" priority="24" operator="containsText" text="highlight">
      <formula>G25="Fail"</formula>
    </cfRule>
    <cfRule type="containsText" dxfId="56" priority="25" operator="containsText" text="highlight">
      <formula>G25="Pass"</formula>
    </cfRule>
  </conditionalFormatting>
  <conditionalFormatting sqref="D26">
    <cfRule type="containsText" dxfId="55" priority="26" operator="containsText" text="highlight">
      <formula>ISBLANK(D26)</formula>
    </cfRule>
  </conditionalFormatting>
  <conditionalFormatting sqref="G26">
    <cfRule type="containsText" dxfId="54" priority="27" operator="containsText" text="highlight">
      <formula>G26="Fail"</formula>
    </cfRule>
    <cfRule type="containsText" dxfId="53" priority="28" operator="containsText" text="highlight">
      <formula>G26="Pass"</formula>
    </cfRule>
  </conditionalFormatting>
  <conditionalFormatting sqref="D28">
    <cfRule type="containsText" dxfId="52" priority="29" operator="containsText" text="highlight">
      <formula>ISBLANK(D28)</formula>
    </cfRule>
  </conditionalFormatting>
  <conditionalFormatting sqref="G28">
    <cfRule type="containsText" dxfId="51" priority="30" operator="containsText" text="highlight">
      <formula>G28="Fail"</formula>
    </cfRule>
    <cfRule type="containsText" dxfId="50" priority="31" operator="containsText" text="highlight">
      <formula>G28="Pass"</formula>
    </cfRule>
  </conditionalFormatting>
  <conditionalFormatting sqref="D29">
    <cfRule type="containsText" dxfId="49" priority="32" operator="containsText" text="highlight">
      <formula>ISBLANK(D29)</formula>
    </cfRule>
  </conditionalFormatting>
  <conditionalFormatting sqref="G29">
    <cfRule type="containsText" dxfId="48" priority="33" operator="containsText" text="highlight">
      <formula>G29="Fail"</formula>
    </cfRule>
    <cfRule type="containsText" dxfId="47" priority="34" operator="containsText" text="highlight">
      <formula>G29="Pass"</formula>
    </cfRule>
  </conditionalFormatting>
  <conditionalFormatting sqref="D30">
    <cfRule type="containsText" dxfId="46" priority="35" operator="containsText" text="highlight">
      <formula>ISBLANK(D30)</formula>
    </cfRule>
  </conditionalFormatting>
  <conditionalFormatting sqref="G30">
    <cfRule type="containsText" dxfId="45" priority="36" operator="containsText" text="highlight">
      <formula>G30="Fail"</formula>
    </cfRule>
    <cfRule type="containsText" dxfId="44" priority="37" operator="containsText" text="highlight">
      <formula>G30="Pass"</formula>
    </cfRule>
  </conditionalFormatting>
  <conditionalFormatting sqref="D32">
    <cfRule type="containsText" dxfId="43" priority="38" operator="containsText" text="highlight">
      <formula>ISBLANK(D32)</formula>
    </cfRule>
  </conditionalFormatting>
  <conditionalFormatting sqref="G32">
    <cfRule type="containsText" dxfId="42" priority="39" operator="containsText" text="highlight">
      <formula>G32="Fail"</formula>
    </cfRule>
    <cfRule type="containsText" dxfId="41" priority="40" operator="containsText" text="highlight">
      <formula>G32="Pass"</formula>
    </cfRule>
  </conditionalFormatting>
  <conditionalFormatting sqref="D33">
    <cfRule type="containsText" dxfId="40" priority="41" operator="containsText" text="highlight">
      <formula>ISBLANK(D33)</formula>
    </cfRule>
  </conditionalFormatting>
  <conditionalFormatting sqref="G33">
    <cfRule type="containsText" dxfId="39" priority="42" operator="containsText" text="highlight">
      <formula>G33="Fail"</formula>
    </cfRule>
    <cfRule type="containsText" dxfId="38" priority="43" operator="containsText" text="highlight">
      <formula>G33="Pass"</formula>
    </cfRule>
  </conditionalFormatting>
  <conditionalFormatting sqref="D34">
    <cfRule type="containsText" dxfId="37" priority="44" operator="containsText" text="highlight">
      <formula>ISBLANK(D34)</formula>
    </cfRule>
  </conditionalFormatting>
  <conditionalFormatting sqref="G34">
    <cfRule type="containsText" dxfId="36" priority="45" operator="containsText" text="highlight">
      <formula>G34="Fail"</formula>
    </cfRule>
    <cfRule type="containsText" dxfId="35" priority="46" operator="containsText" text="highlight">
      <formula>G34="Pass"</formula>
    </cfRule>
  </conditionalFormatting>
  <conditionalFormatting sqref="B38">
    <cfRule type="containsText" dxfId="34" priority="47" operator="containsText" text="highlight">
      <formula>ISBLANK(B38)</formula>
    </cfRule>
  </conditionalFormatting>
  <conditionalFormatting sqref="F38">
    <cfRule type="containsText" dxfId="33" priority="48" operator="containsText" text="highlight">
      <formula>F38="Fail"</formula>
    </cfRule>
    <cfRule type="containsText" dxfId="32" priority="49" operator="containsText" text="highlight">
      <formula>F38="Pass"</formula>
    </cfRule>
  </conditionalFormatting>
  <conditionalFormatting sqref="B39">
    <cfRule type="containsText" dxfId="31" priority="50" operator="containsText" text="highlight">
      <formula>ISBLANK(B39)</formula>
    </cfRule>
  </conditionalFormatting>
  <conditionalFormatting sqref="F39">
    <cfRule type="containsText" dxfId="30" priority="51" operator="containsText" text="highlight">
      <formula>F39="Fail"</formula>
    </cfRule>
    <cfRule type="containsText" dxfId="29" priority="52" operator="containsText" text="highlight">
      <formula>F39="Pass"</formula>
    </cfRule>
  </conditionalFormatting>
  <conditionalFormatting sqref="B40">
    <cfRule type="containsText" dxfId="28" priority="53" operator="containsText" text="highlight">
      <formula>ISBLANK(B40)</formula>
    </cfRule>
  </conditionalFormatting>
  <conditionalFormatting sqref="F40">
    <cfRule type="containsText" dxfId="27" priority="54" operator="containsText" text="highlight">
      <formula>F40="Fail"</formula>
    </cfRule>
    <cfRule type="containsText" dxfId="26" priority="55" operator="containsText" text="highlight">
      <formula>F40="Pass"</formula>
    </cfRule>
  </conditionalFormatting>
  <conditionalFormatting sqref="B41">
    <cfRule type="containsText" dxfId="25" priority="56" operator="containsText" text="highlight">
      <formula>ISBLANK(B41)</formula>
    </cfRule>
  </conditionalFormatting>
  <conditionalFormatting sqref="F41">
    <cfRule type="containsText" dxfId="24" priority="57" operator="containsText" text="highlight">
      <formula>F41="Fail"</formula>
    </cfRule>
    <cfRule type="containsText" dxfId="23" priority="58" operator="containsText" text="highlight">
      <formula>F41="Pass"</formula>
    </cfRule>
  </conditionalFormatting>
  <conditionalFormatting sqref="C45">
    <cfRule type="containsText" dxfId="22" priority="59" operator="containsText" text="highlight">
      <formula>ISBLANK(C45)</formula>
    </cfRule>
  </conditionalFormatting>
  <conditionalFormatting sqref="F45">
    <cfRule type="containsText" dxfId="21" priority="60" operator="containsText" text="highlight">
      <formula>F45="Fail"</formula>
    </cfRule>
    <cfRule type="containsText" dxfId="20" priority="61" operator="containsText" text="highlight">
      <formula>F45="Pass"</formula>
    </cfRule>
  </conditionalFormatting>
  <conditionalFormatting sqref="B50">
    <cfRule type="containsText" dxfId="19" priority="62" operator="containsText" text="highlight">
      <formula>ISBLANK(B50)</formula>
    </cfRule>
  </conditionalFormatting>
  <conditionalFormatting sqref="C50">
    <cfRule type="containsText" dxfId="18" priority="63" operator="containsText" text="highlight">
      <formula>ISBLANK(C50)</formula>
    </cfRule>
    <cfRule type="containsText" dxfId="17" priority="64" operator="containsText" text="highlight">
      <formula>C50="Fail"</formula>
    </cfRule>
    <cfRule type="containsText" dxfId="16" priority="65" operator="containsText" text="highlight">
      <formula>C50="Pass"</formula>
    </cfRule>
  </conditionalFormatting>
  <conditionalFormatting sqref="B52">
    <cfRule type="containsText" dxfId="15" priority="66" operator="containsText" text="highlight">
      <formula>ISBLANK(B52)</formula>
    </cfRule>
  </conditionalFormatting>
  <conditionalFormatting sqref="C52">
    <cfRule type="containsText" dxfId="14" priority="67" operator="containsText" text="highlight">
      <formula>ISBLANK(C52)</formula>
    </cfRule>
    <cfRule type="containsText" dxfId="13" priority="68" operator="containsText" text="highlight">
      <formula>C52="Fail"</formula>
    </cfRule>
    <cfRule type="containsText" dxfId="12" priority="69" operator="containsText" text="highlight">
      <formula>C52="Pass"</formula>
    </cfRule>
  </conditionalFormatting>
  <conditionalFormatting sqref="B54">
    <cfRule type="containsText" dxfId="11" priority="70" operator="containsText" text="highlight">
      <formula>ISBLANK(B54)</formula>
    </cfRule>
  </conditionalFormatting>
  <conditionalFormatting sqref="C54">
    <cfRule type="containsText" dxfId="10" priority="71" operator="containsText" text="highlight">
      <formula>ISBLANK(C54)</formula>
    </cfRule>
    <cfRule type="containsText" dxfId="9" priority="72" operator="containsText" text="highlight">
      <formula>C54="Fail"</formula>
    </cfRule>
    <cfRule type="containsText" dxfId="8" priority="73" operator="containsText" text="highlight">
      <formula>C54="Pass"</formula>
    </cfRule>
  </conditionalFormatting>
  <conditionalFormatting sqref="B56">
    <cfRule type="containsText" dxfId="7" priority="74" operator="containsText" text="highlight">
      <formula>ISBLANK(B56)</formula>
    </cfRule>
  </conditionalFormatting>
  <conditionalFormatting sqref="C56">
    <cfRule type="containsText" dxfId="6" priority="75" operator="containsText" text="highlight">
      <formula>ISBLANK(C56)</formula>
    </cfRule>
    <cfRule type="containsText" dxfId="5" priority="76" operator="containsText" text="highlight">
      <formula>C56="Fail"</formula>
    </cfRule>
    <cfRule type="containsText" dxfId="4" priority="77" operator="containsText" text="highlight">
      <formula>C56="Pass"</formula>
    </cfRule>
  </conditionalFormatting>
  <conditionalFormatting sqref="B58">
    <cfRule type="containsText" dxfId="3" priority="78" operator="containsText" text="highlight">
      <formula>ISBLANK(B58)</formula>
    </cfRule>
  </conditionalFormatting>
  <conditionalFormatting sqref="C58">
    <cfRule type="containsText" dxfId="2" priority="79" operator="containsText" text="highlight">
      <formula>ISBLANK(C58)</formula>
    </cfRule>
    <cfRule type="containsText" dxfId="1" priority="80" operator="containsText" text="highlight">
      <formula>C58="Fail"</formula>
    </cfRule>
    <cfRule type="containsText" dxfId="0" priority="81" operator="containsText" text="highlight">
      <formula>C58="Pass"</formula>
    </cfRule>
  </conditionalFormatting>
  <pageMargins left="0.75" right="0.75" top="1" bottom="1" header="0.5" footer="0.5"/>
  <pageSetup paperSize="9" scale="70" fitToHeight="0" orientation="portrait" r:id="rId1"/>
  <headerFooter>
    <oddHeader>&amp;RPage &amp;P of &amp;N&amp;L&amp;G</oddHeader>
    <evenHeader>&amp;RPage &amp;P of &amp;N</even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2022-12-14T04:58:40Z</dcterms:modified>
</cp:coreProperties>
</file>