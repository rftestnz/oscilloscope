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ek\Documents\Onsites\Apple\Templates\"/>
    </mc:Choice>
  </mc:AlternateContent>
  <xr:revisionPtr revIDLastSave="0" documentId="13_ncr:1_{C7B5EB68-6C99-4645-8487-DDE7990D55FE}" xr6:coauthVersionLast="47" xr6:coauthVersionMax="47" xr10:uidLastSave="{00000000-0000-0000-0000-000000000000}"/>
  <bookViews>
    <workbookView xWindow="-96" yWindow="0" windowWidth="23232" windowHeight="25296" xr2:uid="{00000000-000D-0000-FFFF-FFFF00000000}"/>
  </bookViews>
  <sheets>
    <sheet name="Sheet" sheetId="1" r:id="rId1"/>
  </sheets>
  <definedNames>
    <definedName name="_xlnm._FilterDatabase" localSheetId="0" hidden="1">Sheet!$A$5:$D$15</definedName>
    <definedName name="Manufacturer">Sheet!$G$7</definedName>
    <definedName name="Model">Sheet!$C$6</definedName>
    <definedName name="_xlnm.Print_Area" localSheetId="0">Sheet!$B$1:$J$325</definedName>
    <definedName name="_xlnm.Print_Titles" localSheetId="0">Sheet!$1:$12</definedName>
    <definedName name="StartCell">Sheet!$P$23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5" i="1" l="1"/>
  <c r="L45" i="1" s="1"/>
  <c r="N46" i="1"/>
  <c r="L46" i="1" s="1"/>
  <c r="N47" i="1"/>
  <c r="L47" i="1" s="1"/>
  <c r="N48" i="1"/>
  <c r="L48" i="1" s="1"/>
  <c r="N49" i="1"/>
  <c r="L49" i="1" s="1"/>
  <c r="N50" i="1"/>
  <c r="L50" i="1" s="1"/>
  <c r="N51" i="1"/>
  <c r="L51" i="1" s="1"/>
  <c r="N52" i="1"/>
  <c r="L52" i="1" s="1"/>
  <c r="N53" i="1"/>
  <c r="L53" i="1" s="1"/>
  <c r="N54" i="1"/>
  <c r="L54" i="1" s="1"/>
  <c r="N55" i="1"/>
  <c r="L55" i="1" s="1"/>
  <c r="N56" i="1"/>
  <c r="L56" i="1" s="1"/>
  <c r="N57" i="1"/>
  <c r="L57" i="1" s="1"/>
  <c r="N58" i="1"/>
  <c r="L58" i="1" s="1"/>
  <c r="N59" i="1"/>
  <c r="L59" i="1" s="1"/>
  <c r="N60" i="1"/>
  <c r="L60" i="1" s="1"/>
  <c r="N61" i="1"/>
  <c r="L61" i="1" s="1"/>
  <c r="N62" i="1"/>
  <c r="L62" i="1" s="1"/>
  <c r="N63" i="1"/>
  <c r="L63" i="1" s="1"/>
  <c r="N64" i="1"/>
  <c r="L64" i="1" s="1"/>
  <c r="N65" i="1"/>
  <c r="L65" i="1" s="1"/>
  <c r="N66" i="1"/>
  <c r="L66" i="1" s="1"/>
  <c r="N67" i="1"/>
  <c r="L67" i="1" s="1"/>
  <c r="N68" i="1"/>
  <c r="L68" i="1" s="1"/>
  <c r="N69" i="1"/>
  <c r="L69" i="1" s="1"/>
  <c r="N70" i="1"/>
  <c r="L70" i="1" s="1"/>
  <c r="N71" i="1"/>
  <c r="L71" i="1" s="1"/>
  <c r="N72" i="1"/>
  <c r="L72" i="1" s="1"/>
  <c r="N73" i="1"/>
  <c r="L73" i="1" s="1"/>
  <c r="N74" i="1"/>
  <c r="L74" i="1" s="1"/>
  <c r="N75" i="1"/>
  <c r="L75" i="1" s="1"/>
  <c r="N76" i="1"/>
  <c r="L76" i="1" s="1"/>
  <c r="N77" i="1"/>
  <c r="L77" i="1" s="1"/>
  <c r="N78" i="1"/>
  <c r="L78" i="1" s="1"/>
  <c r="N79" i="1"/>
  <c r="L79" i="1" s="1"/>
  <c r="N80" i="1"/>
  <c r="L80" i="1" s="1"/>
  <c r="N81" i="1"/>
  <c r="L81" i="1" s="1"/>
  <c r="N82" i="1"/>
  <c r="L82" i="1" s="1"/>
  <c r="N83" i="1"/>
  <c r="L83" i="1" s="1"/>
  <c r="N84" i="1"/>
  <c r="L84" i="1" s="1"/>
  <c r="N85" i="1"/>
  <c r="L85" i="1" s="1"/>
  <c r="N86" i="1"/>
  <c r="L86" i="1" s="1"/>
  <c r="N87" i="1"/>
  <c r="L87" i="1" s="1"/>
  <c r="N88" i="1"/>
  <c r="L88" i="1" s="1"/>
  <c r="N89" i="1"/>
  <c r="L89" i="1" s="1"/>
  <c r="N90" i="1"/>
  <c r="L90" i="1" s="1"/>
  <c r="N91" i="1"/>
  <c r="L91" i="1" s="1"/>
  <c r="N92" i="1"/>
  <c r="L92" i="1" s="1"/>
  <c r="N93" i="1"/>
  <c r="L93" i="1" s="1"/>
  <c r="N94" i="1"/>
  <c r="L94" i="1" s="1"/>
  <c r="N95" i="1"/>
  <c r="L95" i="1" s="1"/>
  <c r="N96" i="1"/>
  <c r="L96" i="1" s="1"/>
  <c r="N97" i="1"/>
  <c r="L97" i="1" s="1"/>
  <c r="N98" i="1"/>
  <c r="L98" i="1" s="1"/>
  <c r="N99" i="1"/>
  <c r="L99" i="1" s="1"/>
  <c r="N100" i="1"/>
  <c r="L100" i="1" s="1"/>
  <c r="N101" i="1"/>
  <c r="L101" i="1" s="1"/>
  <c r="N102" i="1"/>
  <c r="L102" i="1" s="1"/>
  <c r="N103" i="1"/>
  <c r="L103" i="1" s="1"/>
  <c r="N104" i="1"/>
  <c r="L104" i="1" s="1"/>
  <c r="N105" i="1"/>
  <c r="L105" i="1" s="1"/>
  <c r="N106" i="1"/>
  <c r="L106" i="1" s="1"/>
  <c r="N107" i="1"/>
  <c r="L107" i="1" s="1"/>
  <c r="N108" i="1"/>
  <c r="L108" i="1" s="1"/>
  <c r="N109" i="1"/>
  <c r="L109" i="1" s="1"/>
  <c r="N110" i="1"/>
  <c r="L110" i="1" s="1"/>
  <c r="N111" i="1"/>
  <c r="L111" i="1" s="1"/>
  <c r="N112" i="1"/>
  <c r="L112" i="1" s="1"/>
  <c r="N113" i="1"/>
  <c r="L113" i="1" s="1"/>
  <c r="N114" i="1"/>
  <c r="L114" i="1" s="1"/>
  <c r="N115" i="1"/>
  <c r="L115" i="1" s="1"/>
  <c r="N116" i="1"/>
  <c r="L116" i="1" s="1"/>
  <c r="N117" i="1"/>
  <c r="L117" i="1" s="1"/>
  <c r="N118" i="1"/>
  <c r="L118" i="1" s="1"/>
  <c r="N119" i="1"/>
  <c r="L119" i="1" s="1"/>
  <c r="N120" i="1"/>
  <c r="L120" i="1" s="1"/>
  <c r="N121" i="1"/>
  <c r="L121" i="1" s="1"/>
  <c r="N122" i="1"/>
  <c r="L122" i="1" s="1"/>
  <c r="N123" i="1"/>
  <c r="L123" i="1" s="1"/>
  <c r="N124" i="1"/>
  <c r="L124" i="1" s="1"/>
  <c r="N125" i="1"/>
  <c r="L125" i="1" s="1"/>
  <c r="N126" i="1"/>
  <c r="L126" i="1" s="1"/>
  <c r="N127" i="1"/>
  <c r="L127" i="1" s="1"/>
  <c r="N128" i="1"/>
  <c r="L128" i="1" s="1"/>
  <c r="N129" i="1"/>
  <c r="L129" i="1" s="1"/>
  <c r="N130" i="1"/>
  <c r="L130" i="1" s="1"/>
  <c r="N131" i="1"/>
  <c r="L131" i="1" s="1"/>
  <c r="N132" i="1"/>
  <c r="L132" i="1" s="1"/>
  <c r="N133" i="1"/>
  <c r="L133" i="1" s="1"/>
  <c r="N134" i="1"/>
  <c r="L134" i="1" s="1"/>
  <c r="N135" i="1"/>
  <c r="L135" i="1" s="1"/>
  <c r="N136" i="1"/>
  <c r="L136" i="1" s="1"/>
  <c r="N137" i="1"/>
  <c r="L137" i="1" s="1"/>
  <c r="N138" i="1"/>
  <c r="L138" i="1" s="1"/>
  <c r="N139" i="1"/>
  <c r="L139" i="1" s="1"/>
  <c r="N140" i="1"/>
  <c r="L140" i="1" s="1"/>
  <c r="N141" i="1"/>
  <c r="L141" i="1" s="1"/>
  <c r="N142" i="1"/>
  <c r="L142" i="1" s="1"/>
  <c r="N143" i="1"/>
  <c r="L143" i="1" s="1"/>
  <c r="N144" i="1"/>
  <c r="L144" i="1" s="1"/>
  <c r="N145" i="1"/>
  <c r="L145" i="1" s="1"/>
  <c r="N146" i="1"/>
  <c r="L146" i="1" s="1"/>
  <c r="N147" i="1"/>
  <c r="L147" i="1" s="1"/>
  <c r="N148" i="1"/>
  <c r="L148" i="1" s="1"/>
  <c r="N149" i="1"/>
  <c r="L149" i="1" s="1"/>
  <c r="N150" i="1"/>
  <c r="L150" i="1" s="1"/>
  <c r="N151" i="1"/>
  <c r="L151" i="1" s="1"/>
  <c r="N152" i="1"/>
  <c r="L152" i="1" s="1"/>
  <c r="N153" i="1"/>
  <c r="L153" i="1" s="1"/>
  <c r="N154" i="1"/>
  <c r="L154" i="1" s="1"/>
  <c r="N155" i="1"/>
  <c r="L155" i="1" s="1"/>
  <c r="N156" i="1"/>
  <c r="L156" i="1" s="1"/>
  <c r="N157" i="1"/>
  <c r="L157" i="1" s="1"/>
  <c r="N158" i="1"/>
  <c r="L158" i="1" s="1"/>
  <c r="N159" i="1"/>
  <c r="L159" i="1" s="1"/>
  <c r="N160" i="1"/>
  <c r="L160" i="1" s="1"/>
  <c r="N161" i="1"/>
  <c r="L161" i="1" s="1"/>
  <c r="N162" i="1"/>
  <c r="L162" i="1" s="1"/>
  <c r="N163" i="1"/>
  <c r="L163" i="1" s="1"/>
  <c r="N164" i="1"/>
  <c r="L164" i="1" s="1"/>
  <c r="N165" i="1"/>
  <c r="L165" i="1" s="1"/>
  <c r="N166" i="1"/>
  <c r="L166" i="1" s="1"/>
  <c r="N167" i="1"/>
  <c r="L167" i="1" s="1"/>
  <c r="N168" i="1"/>
  <c r="L168" i="1" s="1"/>
  <c r="N169" i="1"/>
  <c r="L169" i="1" s="1"/>
  <c r="N170" i="1"/>
  <c r="L170" i="1" s="1"/>
  <c r="N171" i="1"/>
  <c r="L171" i="1" s="1"/>
  <c r="N172" i="1"/>
  <c r="L172" i="1" s="1"/>
  <c r="N173" i="1"/>
  <c r="L173" i="1" s="1"/>
  <c r="N174" i="1"/>
  <c r="L174" i="1" s="1"/>
  <c r="N175" i="1"/>
  <c r="L175" i="1" s="1"/>
  <c r="N176" i="1"/>
  <c r="L176" i="1" s="1"/>
  <c r="N177" i="1"/>
  <c r="L177" i="1" s="1"/>
  <c r="N178" i="1"/>
  <c r="L178" i="1" s="1"/>
  <c r="N179" i="1"/>
  <c r="L179" i="1" s="1"/>
  <c r="N180" i="1"/>
  <c r="L180" i="1" s="1"/>
  <c r="N181" i="1"/>
  <c r="L181" i="1" s="1"/>
  <c r="N182" i="1"/>
  <c r="L182" i="1" s="1"/>
  <c r="N183" i="1"/>
  <c r="L183" i="1" s="1"/>
  <c r="N184" i="1"/>
  <c r="L184" i="1" s="1"/>
  <c r="N185" i="1"/>
  <c r="L185" i="1" s="1"/>
  <c r="N186" i="1"/>
  <c r="L186" i="1" s="1"/>
  <c r="N187" i="1"/>
  <c r="L187" i="1" s="1"/>
  <c r="N44" i="1"/>
  <c r="L44" i="1" s="1"/>
  <c r="G307" i="1"/>
  <c r="E307" i="1"/>
  <c r="G306" i="1"/>
  <c r="E306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E302" i="1"/>
  <c r="G302" i="1"/>
  <c r="E303" i="1"/>
  <c r="G303" i="1"/>
  <c r="E304" i="1"/>
  <c r="G304" i="1"/>
  <c r="E305" i="1"/>
  <c r="G305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40" i="1"/>
  <c r="H39" i="1"/>
  <c r="H38" i="1"/>
  <c r="H37" i="1"/>
  <c r="H36" i="1"/>
  <c r="H35" i="1"/>
  <c r="G311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7" i="1"/>
  <c r="I204" i="1"/>
  <c r="I201" i="1"/>
  <c r="I198" i="1"/>
  <c r="I195" i="1"/>
  <c r="I192" i="1"/>
  <c r="H128" i="1"/>
  <c r="H116" i="1"/>
  <c r="H104" i="1"/>
  <c r="H92" i="1"/>
  <c r="H80" i="1"/>
  <c r="H68" i="1"/>
  <c r="H45" i="1"/>
  <c r="H56" i="1"/>
  <c r="G321" i="1"/>
  <c r="G320" i="1"/>
  <c r="G316" i="1"/>
  <c r="G315" i="1"/>
  <c r="I208" i="1"/>
  <c r="I206" i="1"/>
  <c r="I205" i="1"/>
  <c r="I203" i="1"/>
  <c r="I202" i="1"/>
  <c r="I200" i="1"/>
  <c r="I199" i="1"/>
  <c r="I197" i="1"/>
  <c r="I196" i="1"/>
  <c r="I194" i="1"/>
  <c r="I193" i="1"/>
  <c r="I191" i="1"/>
  <c r="H139" i="1"/>
  <c r="H138" i="1"/>
  <c r="H137" i="1"/>
  <c r="H136" i="1"/>
  <c r="H135" i="1"/>
  <c r="H134" i="1"/>
  <c r="H133" i="1"/>
  <c r="H132" i="1"/>
  <c r="H131" i="1"/>
  <c r="H130" i="1"/>
  <c r="H129" i="1"/>
  <c r="H127" i="1"/>
  <c r="H126" i="1"/>
  <c r="H125" i="1"/>
  <c r="H124" i="1"/>
  <c r="H123" i="1"/>
  <c r="H122" i="1"/>
  <c r="H121" i="1"/>
  <c r="H120" i="1"/>
  <c r="H119" i="1"/>
  <c r="H118" i="1"/>
  <c r="H117" i="1"/>
  <c r="H115" i="1"/>
  <c r="H114" i="1"/>
  <c r="H113" i="1"/>
  <c r="H112" i="1"/>
  <c r="H111" i="1"/>
  <c r="H110" i="1"/>
  <c r="H109" i="1"/>
  <c r="H108" i="1"/>
  <c r="H107" i="1"/>
  <c r="H106" i="1"/>
  <c r="H105" i="1"/>
  <c r="H103" i="1"/>
  <c r="H102" i="1"/>
  <c r="H101" i="1"/>
  <c r="H100" i="1"/>
  <c r="H99" i="1"/>
  <c r="H98" i="1"/>
  <c r="H97" i="1"/>
  <c r="H96" i="1"/>
  <c r="H95" i="1"/>
  <c r="H94" i="1"/>
  <c r="H93" i="1"/>
  <c r="H91" i="1"/>
  <c r="H90" i="1"/>
  <c r="H89" i="1"/>
  <c r="H88" i="1"/>
  <c r="H87" i="1"/>
  <c r="H86" i="1"/>
  <c r="H85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7" i="1"/>
  <c r="H66" i="1"/>
  <c r="H65" i="1"/>
  <c r="H64" i="1"/>
  <c r="H63" i="1"/>
  <c r="H62" i="1"/>
  <c r="H61" i="1"/>
  <c r="H60" i="1"/>
  <c r="H59" i="1"/>
  <c r="H58" i="1"/>
  <c r="H57" i="1"/>
  <c r="H55" i="1"/>
  <c r="H54" i="1"/>
  <c r="H53" i="1"/>
  <c r="H52" i="1"/>
  <c r="H51" i="1"/>
  <c r="H50" i="1"/>
  <c r="H49" i="1"/>
  <c r="H48" i="1"/>
  <c r="H47" i="1"/>
  <c r="H46" i="1"/>
  <c r="H44" i="1"/>
  <c r="H34" i="1"/>
  <c r="H33" i="1"/>
  <c r="H32" i="1"/>
  <c r="H31" i="1"/>
  <c r="H30" i="1"/>
  <c r="H29" i="1"/>
  <c r="H28" i="1"/>
  <c r="H27" i="1"/>
  <c r="H26" i="1"/>
  <c r="H25" i="1"/>
  <c r="H24" i="1"/>
  <c r="H23" i="1"/>
  <c r="K49" i="1" l="1"/>
  <c r="K161" i="1"/>
  <c r="F161" i="1" s="1"/>
  <c r="K57" i="1"/>
  <c r="K44" i="1"/>
  <c r="K180" i="1"/>
  <c r="F180" i="1" s="1"/>
  <c r="K172" i="1"/>
  <c r="K164" i="1"/>
  <c r="D164" i="1" s="1"/>
  <c r="K156" i="1"/>
  <c r="F156" i="1" s="1"/>
  <c r="K148" i="1"/>
  <c r="F148" i="1" s="1"/>
  <c r="K140" i="1"/>
  <c r="D140" i="1" s="1"/>
  <c r="K132" i="1"/>
  <c r="K124" i="1"/>
  <c r="D124" i="1" s="1"/>
  <c r="K116" i="1"/>
  <c r="D116" i="1" s="1"/>
  <c r="K108" i="1"/>
  <c r="K100" i="1"/>
  <c r="D100" i="1" s="1"/>
  <c r="K92" i="1"/>
  <c r="D92" i="1" s="1"/>
  <c r="K84" i="1"/>
  <c r="F84" i="1" s="1"/>
  <c r="K76" i="1"/>
  <c r="D76" i="1" s="1"/>
  <c r="K68" i="1"/>
  <c r="K60" i="1"/>
  <c r="D60" i="1" s="1"/>
  <c r="K52" i="1"/>
  <c r="F52" i="1" s="1"/>
  <c r="K187" i="1"/>
  <c r="K179" i="1"/>
  <c r="F179" i="1" s="1"/>
  <c r="K171" i="1"/>
  <c r="D171" i="1" s="1"/>
  <c r="K163" i="1"/>
  <c r="F163" i="1" s="1"/>
  <c r="K155" i="1"/>
  <c r="D155" i="1" s="1"/>
  <c r="K147" i="1"/>
  <c r="K139" i="1"/>
  <c r="D139" i="1" s="1"/>
  <c r="K131" i="1"/>
  <c r="D131" i="1" s="1"/>
  <c r="K123" i="1"/>
  <c r="K115" i="1"/>
  <c r="F115" i="1" s="1"/>
  <c r="K107" i="1"/>
  <c r="F107" i="1" s="1"/>
  <c r="K99" i="1"/>
  <c r="D99" i="1" s="1"/>
  <c r="K91" i="1"/>
  <c r="D91" i="1" s="1"/>
  <c r="K83" i="1"/>
  <c r="K75" i="1"/>
  <c r="D75" i="1" s="1"/>
  <c r="K67" i="1"/>
  <c r="D67" i="1" s="1"/>
  <c r="K59" i="1"/>
  <c r="K51" i="1"/>
  <c r="D51" i="1" s="1"/>
  <c r="K186" i="1"/>
  <c r="D186" i="1" s="1"/>
  <c r="K178" i="1"/>
  <c r="F178" i="1" s="1"/>
  <c r="K170" i="1"/>
  <c r="D170" i="1" s="1"/>
  <c r="K162" i="1"/>
  <c r="K154" i="1"/>
  <c r="K146" i="1"/>
  <c r="F146" i="1" s="1"/>
  <c r="K138" i="1"/>
  <c r="K130" i="1"/>
  <c r="D130" i="1" s="1"/>
  <c r="K122" i="1"/>
  <c r="D122" i="1" s="1"/>
  <c r="K114" i="1"/>
  <c r="D114" i="1" s="1"/>
  <c r="K106" i="1"/>
  <c r="D106" i="1" s="1"/>
  <c r="K98" i="1"/>
  <c r="K90" i="1"/>
  <c r="K82" i="1"/>
  <c r="D82" i="1" s="1"/>
  <c r="K74" i="1"/>
  <c r="K66" i="1"/>
  <c r="F66" i="1" s="1"/>
  <c r="K58" i="1"/>
  <c r="F58" i="1" s="1"/>
  <c r="K50" i="1"/>
  <c r="F50" i="1" s="1"/>
  <c r="K89" i="1"/>
  <c r="F89" i="1" s="1"/>
  <c r="K184" i="1"/>
  <c r="K176" i="1"/>
  <c r="K168" i="1"/>
  <c r="F168" i="1" s="1"/>
  <c r="K160" i="1"/>
  <c r="D160" i="1" s="1"/>
  <c r="K152" i="1"/>
  <c r="F152" i="1" s="1"/>
  <c r="K144" i="1"/>
  <c r="F144" i="1" s="1"/>
  <c r="K136" i="1"/>
  <c r="D136" i="1" s="1"/>
  <c r="K128" i="1"/>
  <c r="F128" i="1" s="1"/>
  <c r="K120" i="1"/>
  <c r="K112" i="1"/>
  <c r="K104" i="1"/>
  <c r="F104" i="1" s="1"/>
  <c r="K96" i="1"/>
  <c r="K88" i="1"/>
  <c r="F88" i="1" s="1"/>
  <c r="K80" i="1"/>
  <c r="F80" i="1" s="1"/>
  <c r="K72" i="1"/>
  <c r="D72" i="1" s="1"/>
  <c r="K64" i="1"/>
  <c r="F64" i="1" s="1"/>
  <c r="K56" i="1"/>
  <c r="K48" i="1"/>
  <c r="F48" i="1" s="1"/>
  <c r="K185" i="1"/>
  <c r="D185" i="1" s="1"/>
  <c r="K153" i="1"/>
  <c r="F153" i="1" s="1"/>
  <c r="K145" i="1"/>
  <c r="F145" i="1" s="1"/>
  <c r="K121" i="1"/>
  <c r="F121" i="1" s="1"/>
  <c r="K113" i="1"/>
  <c r="D113" i="1" s="1"/>
  <c r="K105" i="1"/>
  <c r="D105" i="1" s="1"/>
  <c r="K97" i="1"/>
  <c r="K81" i="1"/>
  <c r="D81" i="1" s="1"/>
  <c r="K183" i="1"/>
  <c r="D183" i="1" s="1"/>
  <c r="K175" i="1"/>
  <c r="D175" i="1" s="1"/>
  <c r="K167" i="1"/>
  <c r="D167" i="1" s="1"/>
  <c r="K159" i="1"/>
  <c r="F159" i="1" s="1"/>
  <c r="K151" i="1"/>
  <c r="D151" i="1" s="1"/>
  <c r="K143" i="1"/>
  <c r="D143" i="1" s="1"/>
  <c r="K135" i="1"/>
  <c r="K127" i="1"/>
  <c r="F127" i="1" s="1"/>
  <c r="K119" i="1"/>
  <c r="D119" i="1" s="1"/>
  <c r="K111" i="1"/>
  <c r="K103" i="1"/>
  <c r="D103" i="1" s="1"/>
  <c r="K95" i="1"/>
  <c r="F95" i="1" s="1"/>
  <c r="K87" i="1"/>
  <c r="F87" i="1" s="1"/>
  <c r="K79" i="1"/>
  <c r="D79" i="1" s="1"/>
  <c r="K71" i="1"/>
  <c r="K63" i="1"/>
  <c r="K55" i="1"/>
  <c r="D55" i="1" s="1"/>
  <c r="K47" i="1"/>
  <c r="D47" i="1" s="1"/>
  <c r="K169" i="1"/>
  <c r="F169" i="1" s="1"/>
  <c r="K129" i="1"/>
  <c r="F129" i="1" s="1"/>
  <c r="K73" i="1"/>
  <c r="D73" i="1" s="1"/>
  <c r="K182" i="1"/>
  <c r="K174" i="1"/>
  <c r="F174" i="1" s="1"/>
  <c r="K166" i="1"/>
  <c r="D166" i="1" s="1"/>
  <c r="K158" i="1"/>
  <c r="K150" i="1"/>
  <c r="F150" i="1" s="1"/>
  <c r="K142" i="1"/>
  <c r="D142" i="1" s="1"/>
  <c r="K134" i="1"/>
  <c r="F134" i="1" s="1"/>
  <c r="K126" i="1"/>
  <c r="D126" i="1" s="1"/>
  <c r="K118" i="1"/>
  <c r="K110" i="1"/>
  <c r="D110" i="1" s="1"/>
  <c r="K102" i="1"/>
  <c r="D102" i="1" s="1"/>
  <c r="K94" i="1"/>
  <c r="K86" i="1"/>
  <c r="F86" i="1" s="1"/>
  <c r="K78" i="1"/>
  <c r="F78" i="1" s="1"/>
  <c r="K70" i="1"/>
  <c r="F70" i="1" s="1"/>
  <c r="K62" i="1"/>
  <c r="F62" i="1" s="1"/>
  <c r="K54" i="1"/>
  <c r="K46" i="1"/>
  <c r="F46" i="1" s="1"/>
  <c r="K177" i="1"/>
  <c r="D177" i="1" s="1"/>
  <c r="K137" i="1"/>
  <c r="F137" i="1" s="1"/>
  <c r="K65" i="1"/>
  <c r="F65" i="1" s="1"/>
  <c r="K181" i="1"/>
  <c r="F181" i="1" s="1"/>
  <c r="K173" i="1"/>
  <c r="F173" i="1" s="1"/>
  <c r="K165" i="1"/>
  <c r="F165" i="1" s="1"/>
  <c r="K157" i="1"/>
  <c r="K149" i="1"/>
  <c r="F149" i="1" s="1"/>
  <c r="K141" i="1"/>
  <c r="F141" i="1" s="1"/>
  <c r="K133" i="1"/>
  <c r="D133" i="1" s="1"/>
  <c r="K125" i="1"/>
  <c r="D125" i="1" s="1"/>
  <c r="K117" i="1"/>
  <c r="F117" i="1" s="1"/>
  <c r="K109" i="1"/>
  <c r="F109" i="1" s="1"/>
  <c r="K101" i="1"/>
  <c r="F101" i="1" s="1"/>
  <c r="K93" i="1"/>
  <c r="K85" i="1"/>
  <c r="F85" i="1" s="1"/>
  <c r="K77" i="1"/>
  <c r="F77" i="1" s="1"/>
  <c r="K69" i="1"/>
  <c r="F69" i="1" s="1"/>
  <c r="K61" i="1"/>
  <c r="D61" i="1" s="1"/>
  <c r="K53" i="1"/>
  <c r="D53" i="1" s="1"/>
  <c r="K45" i="1"/>
  <c r="F45" i="1" s="1"/>
  <c r="F147" i="1"/>
  <c r="F187" i="1"/>
  <c r="F154" i="1"/>
  <c r="F158" i="1"/>
  <c r="F164" i="1"/>
  <c r="F157" i="1"/>
  <c r="F176" i="1"/>
  <c r="D184" i="1"/>
  <c r="F182" i="1"/>
  <c r="F172" i="1"/>
  <c r="D182" i="1"/>
  <c r="D147" i="1"/>
  <c r="D179" i="1"/>
  <c r="D153" i="1"/>
  <c r="D158" i="1"/>
  <c r="F162" i="1"/>
  <c r="F184" i="1"/>
  <c r="F160" i="1"/>
  <c r="D174" i="1"/>
  <c r="D176" i="1"/>
  <c r="D172" i="1"/>
  <c r="F175" i="1"/>
  <c r="D180" i="1"/>
  <c r="D187" i="1"/>
  <c r="D157" i="1"/>
  <c r="D173" i="1"/>
  <c r="D154" i="1"/>
  <c r="D162" i="1"/>
  <c r="D68" i="1"/>
  <c r="D96" i="1"/>
  <c r="F68" i="1"/>
  <c r="D46" i="1"/>
  <c r="F91" i="1"/>
  <c r="D56" i="1"/>
  <c r="F56" i="1"/>
  <c r="F112" i="1"/>
  <c r="F61" i="1"/>
  <c r="D127" i="1"/>
  <c r="F63" i="1"/>
  <c r="D93" i="1"/>
  <c r="D98" i="1"/>
  <c r="F57" i="1"/>
  <c r="D83" i="1"/>
  <c r="D97" i="1"/>
  <c r="D118" i="1"/>
  <c r="D64" i="1"/>
  <c r="F75" i="1"/>
  <c r="F138" i="1"/>
  <c r="D69" i="1"/>
  <c r="D108" i="1"/>
  <c r="F54" i="1"/>
  <c r="D49" i="1"/>
  <c r="F110" i="1"/>
  <c r="F44" i="1"/>
  <c r="F71" i="1"/>
  <c r="D63" i="1"/>
  <c r="D77" i="1"/>
  <c r="F83" i="1"/>
  <c r="F96" i="1"/>
  <c r="D132" i="1"/>
  <c r="D54" i="1"/>
  <c r="F79" i="1"/>
  <c r="D135" i="1"/>
  <c r="D112" i="1"/>
  <c r="F118" i="1"/>
  <c r="F131" i="1"/>
  <c r="D138" i="1"/>
  <c r="F94" i="1"/>
  <c r="F120" i="1"/>
  <c r="F49" i="1"/>
  <c r="F60" i="1"/>
  <c r="F81" i="1"/>
  <c r="F93" i="1"/>
  <c r="F51" i="1"/>
  <c r="D74" i="1"/>
  <c r="D90" i="1"/>
  <c r="F100" i="1"/>
  <c r="F105" i="1"/>
  <c r="F111" i="1"/>
  <c r="F135" i="1"/>
  <c r="F139" i="1"/>
  <c r="F123" i="1"/>
  <c r="D57" i="1"/>
  <c r="F59" i="1"/>
  <c r="F98" i="1"/>
  <c r="F133" i="1"/>
  <c r="D115" i="1"/>
  <c r="F124" i="1"/>
  <c r="F74" i="1"/>
  <c r="D88" i="1"/>
  <c r="D85" i="1"/>
  <c r="F97" i="1"/>
  <c r="D111" i="1"/>
  <c r="D129" i="1"/>
  <c r="F132" i="1"/>
  <c r="F47" i="1"/>
  <c r="F73" i="1"/>
  <c r="F82" i="1"/>
  <c r="F90" i="1"/>
  <c r="F99" i="1"/>
  <c r="F108" i="1"/>
  <c r="D44" i="1"/>
  <c r="D71" i="1"/>
  <c r="D123" i="1"/>
  <c r="D50" i="1"/>
  <c r="D59" i="1"/>
  <c r="D94" i="1"/>
  <c r="D120" i="1"/>
  <c r="D137" i="1"/>
  <c r="F185" i="1" l="1"/>
  <c r="F55" i="1"/>
  <c r="D86" i="1"/>
  <c r="D52" i="1"/>
  <c r="D48" i="1"/>
  <c r="F119" i="1"/>
  <c r="F116" i="1"/>
  <c r="D146" i="1"/>
  <c r="F166" i="1"/>
  <c r="F102" i="1"/>
  <c r="F67" i="1"/>
  <c r="D168" i="1"/>
  <c r="D104" i="1"/>
  <c r="D149" i="1"/>
  <c r="D159" i="1"/>
  <c r="F125" i="1"/>
  <c r="D65" i="1"/>
  <c r="F142" i="1"/>
  <c r="D62" i="1"/>
  <c r="F130" i="1"/>
  <c r="D78" i="1"/>
  <c r="D107" i="1"/>
  <c r="D45" i="1"/>
  <c r="D165" i="1"/>
  <c r="D150" i="1"/>
  <c r="D89" i="1"/>
  <c r="F170" i="1"/>
  <c r="F76" i="1"/>
  <c r="F122" i="1"/>
  <c r="F126" i="1"/>
  <c r="D117" i="1"/>
  <c r="F103" i="1"/>
  <c r="D128" i="1"/>
  <c r="F167" i="1"/>
  <c r="D161" i="1"/>
  <c r="D121" i="1"/>
  <c r="F143" i="1"/>
  <c r="D144" i="1"/>
  <c r="D101" i="1"/>
  <c r="F186" i="1"/>
  <c r="F106" i="1"/>
  <c r="D152" i="1"/>
  <c r="D66" i="1"/>
  <c r="D141" i="1"/>
  <c r="F183" i="1"/>
  <c r="F140" i="1"/>
  <c r="F155" i="1"/>
  <c r="D169" i="1"/>
  <c r="D145" i="1"/>
  <c r="D84" i="1"/>
  <c r="D163" i="1"/>
  <c r="F113" i="1"/>
  <c r="D134" i="1"/>
  <c r="D178" i="1"/>
  <c r="D156" i="1"/>
  <c r="F171" i="1"/>
  <c r="D70" i="1"/>
  <c r="D109" i="1"/>
  <c r="F92" i="1"/>
  <c r="F114" i="1"/>
  <c r="D80" i="1"/>
  <c r="F151" i="1"/>
  <c r="F136" i="1"/>
  <c r="F72" i="1"/>
  <c r="F53" i="1"/>
  <c r="D58" i="1"/>
  <c r="D87" i="1"/>
  <c r="F177" i="1"/>
  <c r="D95" i="1"/>
  <c r="D148" i="1"/>
  <c r="D181" i="1"/>
</calcChain>
</file>

<file path=xl/sharedStrings.xml><?xml version="1.0" encoding="utf-8"?>
<sst xmlns="http://schemas.openxmlformats.org/spreadsheetml/2006/main" count="1999" uniqueCount="167">
  <si>
    <t>DATE:</t>
  </si>
  <si>
    <t>REPORT NUMBER:</t>
  </si>
  <si>
    <t>MODEL NUMBER:</t>
  </si>
  <si>
    <t>DESCRIPTION:</t>
  </si>
  <si>
    <t>1 GHz 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</si>
  <si>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</si>
  <si>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</si>
  <si>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</si>
  <si>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</si>
  <si>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</si>
  <si>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</si>
  <si>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</si>
  <si>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</si>
  <si>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</si>
  <si>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</si>
  <si>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</si>
  <si>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</si>
  <si>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ISSUE:</t>
  </si>
  <si>
    <t>A.00.00</t>
  </si>
  <si>
    <t>Self Test</t>
  </si>
  <si>
    <t>Test Conditions</t>
  </si>
  <si>
    <t>Pass/Fail</t>
  </si>
  <si>
    <t>PASS/FAIL</t>
  </si>
  <si>
    <t>Test</t>
  </si>
  <si>
    <t>Channel</t>
  </si>
  <si>
    <t>Coupling</t>
  </si>
  <si>
    <t>Scale</t>
  </si>
  <si>
    <t>Voltage</t>
  </si>
  <si>
    <t>Offset</t>
  </si>
  <si>
    <t>Bandwidth</t>
  </si>
  <si>
    <t>Impedance</t>
  </si>
  <si>
    <t>Invert</t>
  </si>
  <si>
    <t>Input Impedance</t>
  </si>
  <si>
    <t>Vertical Scale</t>
  </si>
  <si>
    <t>Lower Limit</t>
  </si>
  <si>
    <t>Measured</t>
  </si>
  <si>
    <t>Upper Limit</t>
  </si>
  <si>
    <t>Units</t>
  </si>
  <si>
    <t>Ch1, 1 MOhm</t>
  </si>
  <si>
    <t>10 mV/Div</t>
  </si>
  <si>
    <t>MOhm</t>
  </si>
  <si>
    <t>IMP</t>
  </si>
  <si>
    <t>DC</t>
  </si>
  <si>
    <t>1M</t>
  </si>
  <si>
    <t>100 mV/Div</t>
  </si>
  <si>
    <t>Ch1, 50Ohm</t>
  </si>
  <si>
    <t>Ohm</t>
  </si>
  <si>
    <t>Ch2, 1 MOhm</t>
  </si>
  <si>
    <t>Ch2, 50Ohm</t>
  </si>
  <si>
    <t>Ch3, 1 MOhm</t>
  </si>
  <si>
    <t>Ch3, 50Ohm</t>
  </si>
  <si>
    <t>Ch4, 1 MOhm</t>
  </si>
  <si>
    <t>Ch4, 50Ohm</t>
  </si>
  <si>
    <t>1 mV/div</t>
  </si>
  <si>
    <t>mV</t>
  </si>
  <si>
    <t>2 mV/div</t>
  </si>
  <si>
    <t>5 mV/div</t>
  </si>
  <si>
    <t>10 mV/div</t>
  </si>
  <si>
    <t>20 mV/div</t>
  </si>
  <si>
    <t>100 mV/div</t>
  </si>
  <si>
    <t>500 mV/div</t>
  </si>
  <si>
    <t>1 V/div</t>
  </si>
  <si>
    <t>V</t>
  </si>
  <si>
    <t>FULL</t>
  </si>
  <si>
    <t>50 mV/div</t>
  </si>
  <si>
    <t>200 mV/div</t>
  </si>
  <si>
    <t>-1.0 V</t>
  </si>
  <si>
    <t>1.0 V</t>
  </si>
  <si>
    <t>DC Gain Accuracy</t>
  </si>
  <si>
    <t>Voltage (units)</t>
  </si>
  <si>
    <t>Limit</t>
  </si>
  <si>
    <t>Ch 1 0V Offset, 1M Ohm, 0V Vert, 20 MHz BW</t>
  </si>
  <si>
    <t>DCV-BAL</t>
  </si>
  <si>
    <t>20M</t>
  </si>
  <si>
    <t>Ch 1 0V Offset, 1M Ohm, 0V Vert, 250 MHz BW</t>
  </si>
  <si>
    <t>250M</t>
  </si>
  <si>
    <t>Ch 1 0V Offset, 1M Ohm, 0V Vert, Full BW</t>
  </si>
  <si>
    <t>Ch 1 0V Offset, 50 Ohm, 0V Vert, 20 MHz BW</t>
  </si>
  <si>
    <t>Ch 1 0V Offset, 50 Ohm, 0V Vert, 250 MHz BW</t>
  </si>
  <si>
    <t>Ch 1 0V Offset, 50 Ohm, 0V Vert, Full BW</t>
  </si>
  <si>
    <t>Ch 2 0V Offset, 1M Ohm, 0V Vert, 20 MHz BW</t>
  </si>
  <si>
    <t>Ch 2 0V Offset, 1M Ohm, 0V Vert, 250 MHz BW</t>
  </si>
  <si>
    <t>Ch 2 0V Offset, 1M Ohm, 0V Vert, Full BW</t>
  </si>
  <si>
    <t>Ch 2 0V Offset, 50 Ohm, 0V Vert, 20 MHz BW</t>
  </si>
  <si>
    <t>Ch 2 0V Offset, 50 Ohm, 0V Vert, 250 MHz BW</t>
  </si>
  <si>
    <t>Ch 2 0V Offset, 50 Ohm, 0V Vert, Full BW</t>
  </si>
  <si>
    <t>Ch 3 0V Offset, 1M Ohm, 0V Vert, 20 MHz BW</t>
  </si>
  <si>
    <t>Ch 3 0V Offset, 1M Ohm, 0V Vert, 250 MHz BW</t>
  </si>
  <si>
    <t>Ch 3 0V Offset, 1M Ohm, 0V Vert, Full BW</t>
  </si>
  <si>
    <t>Ch 3 0V Offset, 50 Ohm, 0V Vert, 20 MHz BW</t>
  </si>
  <si>
    <t>Ch 3 0V Offset, 50 Ohm, 0V Vert, 250 MHz BW</t>
  </si>
  <si>
    <t>Ch 3 0V Offset, 50 Ohm, 0V Vert, Full BW</t>
  </si>
  <si>
    <t>Ch 4 0V Offset, 1M Ohm, 0V Vert, 20 MHz BW</t>
  </si>
  <si>
    <t>Ch 4 0V Offset, 1M Ohm, 0V Vert, 250 MHz BW</t>
  </si>
  <si>
    <t>Ch 4 0V Offset, 1M Ohm, 0V Vert, Full BW</t>
  </si>
  <si>
    <t>Ch 4 0V Offset, 50 Ohm, 0V Vert, 20 MHz BW</t>
  </si>
  <si>
    <t>Ch 4 0V Offset, 50 Ohm, 0V Vert, 250 MHz BW</t>
  </si>
  <si>
    <t>Ch 4 0V Offset, 50 Ohm, 0V Vert, Full BW</t>
  </si>
  <si>
    <t>DC Offset</t>
  </si>
  <si>
    <t>Vertical Offset</t>
  </si>
  <si>
    <t>Ch 1, 1M Ohm, 20 MHz BW</t>
  </si>
  <si>
    <t>900 mV</t>
  </si>
  <si>
    <t>DCV</t>
  </si>
  <si>
    <t>-900 mV</t>
  </si>
  <si>
    <t>9.0 V</t>
  </si>
  <si>
    <t>-9.0 V</t>
  </si>
  <si>
    <t>Ch 1, 50 Ohm, 20 MHz BW</t>
  </si>
  <si>
    <t>Ch 2, 1M Ohm, 20 MHz BW</t>
  </si>
  <si>
    <t>Ch 2, 50 Ohm, 20 MHz BW</t>
  </si>
  <si>
    <t>Ch 3, 1M Ohm, 20 MHz BW</t>
  </si>
  <si>
    <t>Ch 3, 50 Ohm, 20 MHz BW</t>
  </si>
  <si>
    <t>Ch 4, 1M Ohm, 20 MHz BW</t>
  </si>
  <si>
    <t>Ch 4, 50 Ohm, 20 MHz BW</t>
  </si>
  <si>
    <t>Analog Bandwidth</t>
  </si>
  <si>
    <t>Rise Time (measured)</t>
  </si>
  <si>
    <t>Bandwidth (Calculated)</t>
  </si>
  <si>
    <t>Timebase (ns)</t>
  </si>
  <si>
    <t>Channel 1</t>
  </si>
  <si>
    <t>MHz</t>
  </si>
  <si>
    <t>RISE</t>
  </si>
  <si>
    <t>Channel 2</t>
  </si>
  <si>
    <t>Channel 3</t>
  </si>
  <si>
    <t>Channel 4</t>
  </si>
  <si>
    <t>1M Ohm</t>
  </si>
  <si>
    <t>50 Ohm</t>
  </si>
  <si>
    <t>Sample Rate and Delay Time Accuracy</t>
  </si>
  <si>
    <t>0 V</t>
  </si>
  <si>
    <t>Auxiliary (Trigger) Output High Level</t>
  </si>
  <si>
    <t>Trigger Output High</t>
  </si>
  <si>
    <t>Auxiliary (Trigger) Output Low Level</t>
  </si>
  <si>
    <t>Trigger Output Low</t>
  </si>
  <si>
    <t>PERFORMANCE TEST CARD (AS RECEIVED AND AS COMPLETED)</t>
  </si>
  <si>
    <t>-10 V</t>
  </si>
  <si>
    <t>0 mV</t>
  </si>
  <si>
    <t>MSO44,MSO46</t>
  </si>
  <si>
    <t>Ch5, 1 MOhm</t>
  </si>
  <si>
    <t>Channels</t>
  </si>
  <si>
    <t>Ch5, 50Ohm</t>
  </si>
  <si>
    <t>Ch6, 1 MOhm</t>
  </si>
  <si>
    <t>Ch6, 50Ohm</t>
  </si>
  <si>
    <t>Ch 5 0V Offset, 1M Ohm, 0V Vert, 20 MHz BW</t>
  </si>
  <si>
    <t>Ch 5 0V Offset, 1M Ohm, 0V Vert, 250 MHz BW</t>
  </si>
  <si>
    <t>Ch 5 0V Offset, 1M Ohm, 0V Vert, Full BW</t>
  </si>
  <si>
    <t>Ch 5 0V Offset, 50 Ohm, 0V Vert, 20 MHz BW</t>
  </si>
  <si>
    <t>Ch 5 0V Offset, 50 Ohm, 0V Vert, 250 MHz BW</t>
  </si>
  <si>
    <t>Ch 5 0V Offset, 50 Ohm, 0V Vert, Full BW</t>
  </si>
  <si>
    <t>Ch 6 0V Offset, 1M Ohm, 0V Vert, 20 MHz BW</t>
  </si>
  <si>
    <t>Ch 6 0V Offset, 1M Ohm, 0V Vert, 250 MHz BW</t>
  </si>
  <si>
    <t>Ch 6 0V Offset, 1M Ohm, 0V Vert, Full BW</t>
  </si>
  <si>
    <t>Ch 6 0V Offset, 50 Ohm, 0V Vert, 20 MHz BW</t>
  </si>
  <si>
    <t>Ch 6 0V Offset, 50 Ohm, 0V Vert, 250 MHz BW</t>
  </si>
  <si>
    <t>Ch 6 0V Offset, 50 Ohm, 0V Vert, Full BW</t>
  </si>
  <si>
    <t>Ch 6, 1M Ohm, 20 MHz BW</t>
  </si>
  <si>
    <t>Ch 6, 50 Ohm, 20 MHz BW</t>
  </si>
  <si>
    <t>Ch 5, 1M Ohm, 20 MHz BW</t>
  </si>
  <si>
    <t>Ch 5, 50 Ohm, 20 MHz BW</t>
  </si>
  <si>
    <t>Channel 5</t>
  </si>
  <si>
    <t>Channel 6</t>
  </si>
  <si>
    <t>5 V/div</t>
  </si>
  <si>
    <t>RFTS_TEKMSO46</t>
  </si>
  <si>
    <t>Signal Path Compensation</t>
  </si>
  <si>
    <t>Percent</t>
  </si>
  <si>
    <t>Multiplier</t>
  </si>
  <si>
    <t>3 V</t>
  </si>
  <si>
    <t>-3 V</t>
  </si>
  <si>
    <t>Reference Oscillator</t>
  </si>
  <si>
    <t>End of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</si>
</sst>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;@"/>
    <numFmt numFmtId="165" formatCode="0.000"/>
    <numFmt numFmtId="167" formatCode="0.0"/>
    <numFmt numFmtId="168" formatCode="0.0000"/>
    <numFmt numFmtId="169" formatCode="0.00&quot; nS&quot;"/>
  </numFmts>
  <fonts count="6" x14ac:knownFonts="1">
    <font>
      <sz val="11"/>
      <color theme="1"/>
      <name val="Calibri"/>
      <family val="2"/>
      <scheme val="minor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167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</cellXfs>
  <cellStyles count="1">
    <cellStyle name="Normal" xfId="0" builtinId="0"/>
  </cellStyles>
  <dxfs count="28"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X324"/>
  <sheetViews>
    <sheetView tabSelected="1" view="pageBreakPreview" workbookViewId="0">
      <selection activeCell="C5" sqref="C5"/>
    </sheetView>
  </sheetViews>
  <sheetFormatPr defaultRowHeight="14.4" x14ac:dyDescent="0.3"/>
  <cols>
    <col min="1" max="1" width="9.109375" style="9"/>
    <col min="2" max="2" width="50" customWidth="1"/>
    <col min="3" max="5" width="16" customWidth="1"/>
    <col min="6" max="6" width="18" customWidth="1"/>
    <col min="7" max="10" width="16" customWidth="1"/>
    <col min="16" max="24" width="9.109375" style="9" customWidth="1"/>
  </cols>
  <sheetData>
    <row r="3" spans="1:11" ht="15.75" customHeight="1" x14ac:dyDescent="0.3">
      <c r="B3" s="1" t="s">
        <v>131</v>
      </c>
    </row>
    <row r="4" spans="1:11" x14ac:dyDescent="0.3">
      <c r="B4" s="2"/>
      <c r="C4" s="2"/>
      <c r="F4" s="2"/>
      <c r="G4" s="2"/>
    </row>
    <row r="5" spans="1:11" x14ac:dyDescent="0.3">
      <c r="B5" s="2" t="s">
        <v>0</v>
      </c>
      <c r="C5" s="3"/>
      <c r="F5" s="2" t="s">
        <v>1</v>
      </c>
      <c r="G5" s="2"/>
    </row>
    <row r="6" spans="1:11" x14ac:dyDescent="0.3">
      <c r="B6" s="2" t="s">
        <v>2</v>
      </c>
      <c r="C6" s="2" t="s">
        <v>134</v>
      </c>
      <c r="F6" s="2" t="s">
        <v>3</v>
      </c>
      <c r="G6" s="2" t="s">
        <v>4</v>
      </c>
    </row>
    <row r="7" spans="1:11" x14ac:dyDescent="0.3">
      <c r="B7" s="2" t="s">
        <v>5</v>
      </c>
      <c r="C7" s="2"/>
      <c r="F7" s="2" t="s">
        <v>6</v>
      </c>
      <c r="G7" s="2" t="s">
        <v>7</v>
      </c>
    </row>
    <row r="8" spans="1:11" x14ac:dyDescent="0.3">
      <c r="B8" s="2" t="s">
        <v>8</v>
      </c>
      <c r="C8" s="2"/>
      <c r="F8" s="2" t="s">
        <v>9</v>
      </c>
      <c r="G8" s="2" t="s">
        <v>10</v>
      </c>
    </row>
    <row r="9" spans="1:11" x14ac:dyDescent="0.3">
      <c r="B9" s="2" t="s">
        <v>11</v>
      </c>
      <c r="C9" s="2" t="s">
        <v>12</v>
      </c>
      <c r="F9" s="2" t="s">
        <v>13</v>
      </c>
      <c r="G9" s="2"/>
    </row>
    <row r="10" spans="1:11" x14ac:dyDescent="0.3">
      <c r="B10" s="2" t="s">
        <v>14</v>
      </c>
      <c r="C10" s="2" t="s">
        <v>15</v>
      </c>
      <c r="F10" s="2" t="s">
        <v>16</v>
      </c>
      <c r="G10" s="2" t="s">
        <v>159</v>
      </c>
    </row>
    <row r="11" spans="1:11" x14ac:dyDescent="0.3">
      <c r="B11" t="s">
        <v>17</v>
      </c>
      <c r="C11" t="s">
        <v>18</v>
      </c>
    </row>
    <row r="12" spans="1:11" x14ac:dyDescent="0.3">
      <c r="A12" s="9" t="s">
        <v>136</v>
      </c>
    </row>
    <row r="13" spans="1:11" ht="15.75" customHeight="1" x14ac:dyDescent="0.3">
      <c r="B13" s="4" t="s">
        <v>19</v>
      </c>
    </row>
    <row r="14" spans="1:11" x14ac:dyDescent="0.3">
      <c r="B14" s="5" t="s">
        <v>20</v>
      </c>
      <c r="C14" s="5" t="s">
        <v>21</v>
      </c>
      <c r="D14" s="5" t="s">
        <v>21</v>
      </c>
    </row>
    <row r="15" spans="1:11" x14ac:dyDescent="0.3">
      <c r="B15" s="6" t="s">
        <v>19</v>
      </c>
      <c r="C15" s="6" t="s">
        <v>22</v>
      </c>
      <c r="D15" s="6"/>
      <c r="K15" t="s">
        <v>22</v>
      </c>
    </row>
    <row r="16" spans="1:11" x14ac:dyDescent="0.3">
      <c r="B16" s="9"/>
    </row>
    <row r="17" spans="2:24" ht="15.6" x14ac:dyDescent="0.3">
      <c r="B17" s="4" t="s">
        <v>160</v>
      </c>
    </row>
    <row r="18" spans="2:24" x14ac:dyDescent="0.3">
      <c r="B18" s="5" t="s">
        <v>20</v>
      </c>
      <c r="C18" s="5" t="s">
        <v>21</v>
      </c>
      <c r="D18" s="5" t="s">
        <v>21</v>
      </c>
    </row>
    <row r="19" spans="2:24" x14ac:dyDescent="0.3">
      <c r="B19" s="6" t="s">
        <v>19</v>
      </c>
      <c r="C19" s="6" t="s">
        <v>22</v>
      </c>
      <c r="D19" s="6"/>
    </row>
    <row r="20" spans="2:24" x14ac:dyDescent="0.3">
      <c r="P20" s="9" t="s">
        <v>23</v>
      </c>
      <c r="Q20" s="9" t="s">
        <v>24</v>
      </c>
      <c r="R20" s="9" t="s">
        <v>25</v>
      </c>
      <c r="S20" s="9" t="s">
        <v>26</v>
      </c>
      <c r="T20" s="9" t="s">
        <v>27</v>
      </c>
      <c r="U20" s="9" t="s">
        <v>28</v>
      </c>
      <c r="V20" s="9" t="s">
        <v>29</v>
      </c>
      <c r="W20" s="9" t="s">
        <v>30</v>
      </c>
      <c r="X20" s="9" t="s">
        <v>31</v>
      </c>
    </row>
    <row r="21" spans="2:24" ht="15.75" customHeight="1" x14ac:dyDescent="0.3">
      <c r="B21" s="4" t="s">
        <v>32</v>
      </c>
    </row>
    <row r="22" spans="2:24" x14ac:dyDescent="0.3">
      <c r="B22" s="5" t="s">
        <v>20</v>
      </c>
      <c r="C22" s="5" t="s">
        <v>33</v>
      </c>
      <c r="D22" s="5" t="s">
        <v>34</v>
      </c>
      <c r="E22" s="5" t="s">
        <v>35</v>
      </c>
      <c r="F22" s="5" t="s">
        <v>36</v>
      </c>
      <c r="G22" s="5" t="s">
        <v>37</v>
      </c>
      <c r="H22" s="5" t="s">
        <v>21</v>
      </c>
    </row>
    <row r="23" spans="2:24" x14ac:dyDescent="0.3">
      <c r="B23" s="10" t="s">
        <v>38</v>
      </c>
      <c r="C23" s="6" t="s">
        <v>44</v>
      </c>
      <c r="D23" s="6">
        <v>0.99</v>
      </c>
      <c r="E23" s="8"/>
      <c r="F23" s="6">
        <v>1.01</v>
      </c>
      <c r="G23" s="6" t="s">
        <v>40</v>
      </c>
      <c r="H23" s="6" t="str">
        <f t="shared" ref="H23:H34" si="0">IF(ISBLANK(E23),"Not Done",IF(AND(E23&lt;=F23,E23&gt;=D23),"Pass","Fail"))</f>
        <v>Not Done</v>
      </c>
      <c r="P23" s="9" t="s">
        <v>41</v>
      </c>
      <c r="Q23" s="9">
        <v>1</v>
      </c>
      <c r="R23" s="9" t="s">
        <v>42</v>
      </c>
      <c r="S23" s="9">
        <v>0.1</v>
      </c>
      <c r="W23" s="9" t="s">
        <v>43</v>
      </c>
    </row>
    <row r="24" spans="2:24" x14ac:dyDescent="0.3">
      <c r="B24" s="10" t="s">
        <v>45</v>
      </c>
      <c r="C24" s="6" t="s">
        <v>39</v>
      </c>
      <c r="D24" s="6">
        <v>49.5</v>
      </c>
      <c r="E24" s="7"/>
      <c r="F24" s="6">
        <v>50.5</v>
      </c>
      <c r="G24" s="6" t="s">
        <v>46</v>
      </c>
      <c r="H24" s="6" t="str">
        <f t="shared" si="0"/>
        <v>Not Done</v>
      </c>
      <c r="P24" s="9" t="s">
        <v>41</v>
      </c>
      <c r="Q24" s="9">
        <v>1</v>
      </c>
      <c r="R24" s="9" t="s">
        <v>42</v>
      </c>
      <c r="S24" s="9">
        <v>0.01</v>
      </c>
      <c r="W24" s="9">
        <v>50</v>
      </c>
    </row>
    <row r="25" spans="2:24" x14ac:dyDescent="0.3">
      <c r="B25" s="10" t="s">
        <v>45</v>
      </c>
      <c r="C25" s="6" t="s">
        <v>44</v>
      </c>
      <c r="D25" s="6">
        <v>49.5</v>
      </c>
      <c r="E25" s="7"/>
      <c r="F25" s="6">
        <v>50.5</v>
      </c>
      <c r="G25" s="6" t="s">
        <v>46</v>
      </c>
      <c r="H25" s="6" t="str">
        <f t="shared" si="0"/>
        <v>Not Done</v>
      </c>
      <c r="P25" s="9" t="s">
        <v>41</v>
      </c>
      <c r="Q25" s="9">
        <v>1</v>
      </c>
      <c r="R25" s="9" t="s">
        <v>42</v>
      </c>
      <c r="S25" s="9">
        <v>0.1</v>
      </c>
      <c r="W25" s="9">
        <v>50</v>
      </c>
    </row>
    <row r="26" spans="2:24" x14ac:dyDescent="0.3">
      <c r="B26" s="10" t="s">
        <v>47</v>
      </c>
      <c r="C26" s="6" t="s">
        <v>44</v>
      </c>
      <c r="D26" s="6">
        <v>0.99</v>
      </c>
      <c r="E26" s="8"/>
      <c r="F26" s="6">
        <v>1.01</v>
      </c>
      <c r="G26" s="6" t="s">
        <v>40</v>
      </c>
      <c r="H26" s="6" t="str">
        <f t="shared" si="0"/>
        <v>Not Done</v>
      </c>
      <c r="P26" s="9" t="s">
        <v>41</v>
      </c>
      <c r="Q26" s="9">
        <v>2</v>
      </c>
      <c r="R26" s="9" t="s">
        <v>42</v>
      </c>
      <c r="S26" s="9">
        <v>0.1</v>
      </c>
      <c r="W26" s="9" t="s">
        <v>43</v>
      </c>
    </row>
    <row r="27" spans="2:24" x14ac:dyDescent="0.3">
      <c r="B27" s="10" t="s">
        <v>48</v>
      </c>
      <c r="C27" s="6" t="s">
        <v>39</v>
      </c>
      <c r="D27" s="6">
        <v>49.5</v>
      </c>
      <c r="E27" s="7"/>
      <c r="F27" s="6">
        <v>50.5</v>
      </c>
      <c r="G27" s="6" t="s">
        <v>46</v>
      </c>
      <c r="H27" s="6" t="str">
        <f t="shared" si="0"/>
        <v>Not Done</v>
      </c>
      <c r="P27" s="9" t="s">
        <v>41</v>
      </c>
      <c r="Q27" s="9">
        <v>2</v>
      </c>
      <c r="R27" s="9" t="s">
        <v>42</v>
      </c>
      <c r="S27" s="9">
        <v>0.01</v>
      </c>
      <c r="W27" s="9">
        <v>50</v>
      </c>
    </row>
    <row r="28" spans="2:24" x14ac:dyDescent="0.3">
      <c r="B28" s="10" t="s">
        <v>48</v>
      </c>
      <c r="C28" s="6" t="s">
        <v>44</v>
      </c>
      <c r="D28" s="6">
        <v>49.5</v>
      </c>
      <c r="E28" s="7"/>
      <c r="F28" s="6">
        <v>50.5</v>
      </c>
      <c r="G28" s="6" t="s">
        <v>46</v>
      </c>
      <c r="H28" s="6" t="str">
        <f t="shared" si="0"/>
        <v>Not Done</v>
      </c>
      <c r="P28" s="9" t="s">
        <v>41</v>
      </c>
      <c r="Q28" s="9">
        <v>2</v>
      </c>
      <c r="R28" s="9" t="s">
        <v>42</v>
      </c>
      <c r="S28" s="9">
        <v>0.1</v>
      </c>
      <c r="W28" s="9">
        <v>50</v>
      </c>
    </row>
    <row r="29" spans="2:24" x14ac:dyDescent="0.3">
      <c r="B29" s="10" t="s">
        <v>49</v>
      </c>
      <c r="C29" s="6" t="s">
        <v>44</v>
      </c>
      <c r="D29" s="6">
        <v>0.99</v>
      </c>
      <c r="E29" s="8"/>
      <c r="F29" s="6">
        <v>1.01</v>
      </c>
      <c r="G29" s="6" t="s">
        <v>40</v>
      </c>
      <c r="H29" s="6" t="str">
        <f t="shared" si="0"/>
        <v>Not Done</v>
      </c>
      <c r="P29" s="9" t="s">
        <v>41</v>
      </c>
      <c r="Q29" s="9">
        <v>3</v>
      </c>
      <c r="R29" s="9" t="s">
        <v>42</v>
      </c>
      <c r="S29" s="9">
        <v>0.1</v>
      </c>
      <c r="W29" s="9" t="s">
        <v>43</v>
      </c>
    </row>
    <row r="30" spans="2:24" x14ac:dyDescent="0.3">
      <c r="B30" s="10" t="s">
        <v>50</v>
      </c>
      <c r="C30" s="6" t="s">
        <v>39</v>
      </c>
      <c r="D30" s="6">
        <v>49.5</v>
      </c>
      <c r="E30" s="7"/>
      <c r="F30" s="6">
        <v>50.5</v>
      </c>
      <c r="G30" s="6" t="s">
        <v>46</v>
      </c>
      <c r="H30" s="6" t="str">
        <f t="shared" si="0"/>
        <v>Not Done</v>
      </c>
      <c r="P30" s="9" t="s">
        <v>41</v>
      </c>
      <c r="Q30" s="9">
        <v>3</v>
      </c>
      <c r="R30" s="9" t="s">
        <v>42</v>
      </c>
      <c r="S30" s="9">
        <v>0.01</v>
      </c>
      <c r="W30" s="9">
        <v>50</v>
      </c>
    </row>
    <row r="31" spans="2:24" x14ac:dyDescent="0.3">
      <c r="B31" s="10" t="s">
        <v>50</v>
      </c>
      <c r="C31" s="6" t="s">
        <v>44</v>
      </c>
      <c r="D31" s="6">
        <v>49.5</v>
      </c>
      <c r="E31" s="7"/>
      <c r="F31" s="6">
        <v>50.5</v>
      </c>
      <c r="G31" s="6" t="s">
        <v>46</v>
      </c>
      <c r="H31" s="6" t="str">
        <f t="shared" si="0"/>
        <v>Not Done</v>
      </c>
      <c r="P31" s="9" t="s">
        <v>41</v>
      </c>
      <c r="Q31" s="9">
        <v>3</v>
      </c>
      <c r="R31" s="9" t="s">
        <v>42</v>
      </c>
      <c r="S31" s="9">
        <v>0.1</v>
      </c>
      <c r="W31" s="9">
        <v>50</v>
      </c>
    </row>
    <row r="32" spans="2:24" x14ac:dyDescent="0.3">
      <c r="B32" s="10" t="s">
        <v>51</v>
      </c>
      <c r="C32" s="6" t="s">
        <v>44</v>
      </c>
      <c r="D32" s="6">
        <v>0.99</v>
      </c>
      <c r="E32" s="8"/>
      <c r="F32" s="6">
        <v>1.01</v>
      </c>
      <c r="G32" s="6" t="s">
        <v>40</v>
      </c>
      <c r="H32" s="6" t="str">
        <f t="shared" si="0"/>
        <v>Not Done</v>
      </c>
      <c r="P32" s="9" t="s">
        <v>41</v>
      </c>
      <c r="Q32" s="9">
        <v>4</v>
      </c>
      <c r="R32" s="9" t="s">
        <v>42</v>
      </c>
      <c r="S32" s="9">
        <v>0.1</v>
      </c>
      <c r="W32" s="9" t="s">
        <v>43</v>
      </c>
    </row>
    <row r="33" spans="1:24" x14ac:dyDescent="0.3">
      <c r="B33" s="10" t="s">
        <v>52</v>
      </c>
      <c r="C33" s="6" t="s">
        <v>39</v>
      </c>
      <c r="D33" s="6">
        <v>49.5</v>
      </c>
      <c r="E33" s="7"/>
      <c r="F33" s="6">
        <v>50.5</v>
      </c>
      <c r="G33" s="6" t="s">
        <v>46</v>
      </c>
      <c r="H33" s="6" t="str">
        <f t="shared" si="0"/>
        <v>Not Done</v>
      </c>
      <c r="P33" s="9" t="s">
        <v>41</v>
      </c>
      <c r="Q33" s="9">
        <v>4</v>
      </c>
      <c r="R33" s="9" t="s">
        <v>42</v>
      </c>
      <c r="S33" s="9">
        <v>0.01</v>
      </c>
      <c r="W33" s="9">
        <v>50</v>
      </c>
    </row>
    <row r="34" spans="1:24" x14ac:dyDescent="0.3">
      <c r="B34" s="10" t="s">
        <v>52</v>
      </c>
      <c r="C34" s="6" t="s">
        <v>44</v>
      </c>
      <c r="D34" s="6">
        <v>49.5</v>
      </c>
      <c r="E34" s="7"/>
      <c r="F34" s="6">
        <v>50.5</v>
      </c>
      <c r="G34" s="6" t="s">
        <v>46</v>
      </c>
      <c r="H34" s="6" t="str">
        <f t="shared" si="0"/>
        <v>Not Done</v>
      </c>
      <c r="P34" s="9" t="s">
        <v>41</v>
      </c>
      <c r="Q34" s="9">
        <v>4</v>
      </c>
      <c r="R34" s="9" t="s">
        <v>42</v>
      </c>
      <c r="S34" s="9">
        <v>0.1</v>
      </c>
      <c r="W34" s="9">
        <v>50</v>
      </c>
    </row>
    <row r="35" spans="1:24" x14ac:dyDescent="0.3">
      <c r="A35" s="9">
        <v>6</v>
      </c>
      <c r="B35" s="10" t="s">
        <v>135</v>
      </c>
      <c r="C35" s="6" t="s">
        <v>44</v>
      </c>
      <c r="D35" s="6">
        <v>0.99</v>
      </c>
      <c r="E35" s="8"/>
      <c r="F35" s="6">
        <v>1.01</v>
      </c>
      <c r="G35" s="6" t="s">
        <v>40</v>
      </c>
      <c r="H35" s="6" t="str">
        <f t="shared" ref="H35:H40" si="1">IF(ISBLANK(E35),"Not Done",IF(AND(E35&lt;=F35,E35&gt;=D35),"Pass","Fail"))</f>
        <v>Not Done</v>
      </c>
      <c r="P35" s="9" t="s">
        <v>41</v>
      </c>
      <c r="Q35" s="9">
        <v>5</v>
      </c>
      <c r="R35" s="9" t="s">
        <v>42</v>
      </c>
      <c r="S35" s="9">
        <v>0.1</v>
      </c>
      <c r="W35" s="9" t="s">
        <v>43</v>
      </c>
    </row>
    <row r="36" spans="1:24" x14ac:dyDescent="0.3">
      <c r="A36" s="9">
        <v>6</v>
      </c>
      <c r="B36" s="10" t="s">
        <v>137</v>
      </c>
      <c r="C36" s="6" t="s">
        <v>39</v>
      </c>
      <c r="D36" s="6">
        <v>49.5</v>
      </c>
      <c r="E36" s="7"/>
      <c r="F36" s="6">
        <v>50.5</v>
      </c>
      <c r="G36" s="6" t="s">
        <v>46</v>
      </c>
      <c r="H36" s="6" t="str">
        <f t="shared" si="1"/>
        <v>Not Done</v>
      </c>
      <c r="P36" s="9" t="s">
        <v>41</v>
      </c>
      <c r="Q36" s="9">
        <v>5</v>
      </c>
      <c r="R36" s="9" t="s">
        <v>42</v>
      </c>
      <c r="S36" s="9">
        <v>0.01</v>
      </c>
      <c r="W36" s="9">
        <v>50</v>
      </c>
    </row>
    <row r="37" spans="1:24" x14ac:dyDescent="0.3">
      <c r="A37" s="9">
        <v>6</v>
      </c>
      <c r="B37" s="10" t="s">
        <v>137</v>
      </c>
      <c r="C37" s="6" t="s">
        <v>44</v>
      </c>
      <c r="D37" s="6">
        <v>49.5</v>
      </c>
      <c r="E37" s="7"/>
      <c r="F37" s="6">
        <v>50.5</v>
      </c>
      <c r="G37" s="6" t="s">
        <v>46</v>
      </c>
      <c r="H37" s="6" t="str">
        <f t="shared" si="1"/>
        <v>Not Done</v>
      </c>
      <c r="P37" s="9" t="s">
        <v>41</v>
      </c>
      <c r="Q37" s="9">
        <v>5</v>
      </c>
      <c r="R37" s="9" t="s">
        <v>42</v>
      </c>
      <c r="S37" s="9">
        <v>0.1</v>
      </c>
      <c r="W37" s="9">
        <v>50</v>
      </c>
    </row>
    <row r="38" spans="1:24" x14ac:dyDescent="0.3">
      <c r="A38" s="9">
        <v>6</v>
      </c>
      <c r="B38" s="10" t="s">
        <v>138</v>
      </c>
      <c r="C38" s="6" t="s">
        <v>44</v>
      </c>
      <c r="D38" s="6">
        <v>0.99</v>
      </c>
      <c r="E38" s="8"/>
      <c r="F38" s="6">
        <v>1.01</v>
      </c>
      <c r="G38" s="6" t="s">
        <v>40</v>
      </c>
      <c r="H38" s="6" t="str">
        <f t="shared" si="1"/>
        <v>Not Done</v>
      </c>
      <c r="P38" s="9" t="s">
        <v>41</v>
      </c>
      <c r="Q38" s="9">
        <v>6</v>
      </c>
      <c r="R38" s="9" t="s">
        <v>42</v>
      </c>
      <c r="S38" s="9">
        <v>0.1</v>
      </c>
      <c r="W38" s="9" t="s">
        <v>43</v>
      </c>
    </row>
    <row r="39" spans="1:24" x14ac:dyDescent="0.3">
      <c r="A39" s="9">
        <v>6</v>
      </c>
      <c r="B39" s="10" t="s">
        <v>139</v>
      </c>
      <c r="C39" s="6" t="s">
        <v>39</v>
      </c>
      <c r="D39" s="6">
        <v>49.5</v>
      </c>
      <c r="E39" s="7"/>
      <c r="F39" s="6">
        <v>50.5</v>
      </c>
      <c r="G39" s="6" t="s">
        <v>46</v>
      </c>
      <c r="H39" s="6" t="str">
        <f t="shared" si="1"/>
        <v>Not Done</v>
      </c>
      <c r="P39" s="9" t="s">
        <v>41</v>
      </c>
      <c r="Q39" s="9">
        <v>6</v>
      </c>
      <c r="R39" s="9" t="s">
        <v>42</v>
      </c>
      <c r="S39" s="9">
        <v>0.01</v>
      </c>
      <c r="W39" s="9">
        <v>50</v>
      </c>
    </row>
    <row r="40" spans="1:24" x14ac:dyDescent="0.3">
      <c r="A40" s="9">
        <v>6</v>
      </c>
      <c r="B40" s="10" t="s">
        <v>139</v>
      </c>
      <c r="C40" s="6" t="s">
        <v>44</v>
      </c>
      <c r="D40" s="6">
        <v>49.5</v>
      </c>
      <c r="E40" s="7"/>
      <c r="F40" s="6">
        <v>50.5</v>
      </c>
      <c r="G40" s="6" t="s">
        <v>46</v>
      </c>
      <c r="H40" s="6" t="str">
        <f t="shared" si="1"/>
        <v>Not Done</v>
      </c>
      <c r="P40" s="9" t="s">
        <v>41</v>
      </c>
      <c r="Q40" s="9">
        <v>6</v>
      </c>
      <c r="R40" s="9" t="s">
        <v>42</v>
      </c>
      <c r="S40" s="9">
        <v>0.1</v>
      </c>
      <c r="W40" s="9">
        <v>50</v>
      </c>
    </row>
    <row r="42" spans="1:24" ht="15.75" customHeight="1" x14ac:dyDescent="0.3">
      <c r="B42" s="4" t="s">
        <v>68</v>
      </c>
    </row>
    <row r="43" spans="1:24" x14ac:dyDescent="0.3">
      <c r="B43" s="5" t="s">
        <v>20</v>
      </c>
      <c r="C43" s="5" t="s">
        <v>33</v>
      </c>
      <c r="D43" s="5" t="s">
        <v>34</v>
      </c>
      <c r="E43" s="5" t="s">
        <v>35</v>
      </c>
      <c r="F43" s="5" t="s">
        <v>36</v>
      </c>
      <c r="G43" s="5" t="s">
        <v>37</v>
      </c>
      <c r="H43" s="5" t="s">
        <v>21</v>
      </c>
      <c r="K43" s="16" t="s">
        <v>69</v>
      </c>
      <c r="L43" s="15" t="s">
        <v>70</v>
      </c>
      <c r="M43" s="9" t="s">
        <v>161</v>
      </c>
      <c r="N43" s="9" t="s">
        <v>162</v>
      </c>
      <c r="O43" s="9"/>
      <c r="P43" s="9" t="s">
        <v>23</v>
      </c>
      <c r="Q43" s="9" t="s">
        <v>24</v>
      </c>
      <c r="R43" s="9" t="s">
        <v>25</v>
      </c>
      <c r="S43" s="9" t="s">
        <v>26</v>
      </c>
      <c r="T43" s="9" t="s">
        <v>27</v>
      </c>
      <c r="U43" s="9" t="s">
        <v>28</v>
      </c>
      <c r="V43" s="9" t="s">
        <v>29</v>
      </c>
      <c r="W43" s="9" t="s">
        <v>30</v>
      </c>
      <c r="X43" s="9" t="s">
        <v>31</v>
      </c>
    </row>
    <row r="44" spans="1:24" x14ac:dyDescent="0.3">
      <c r="B44" s="10" t="s">
        <v>71</v>
      </c>
      <c r="C44" s="6" t="s">
        <v>53</v>
      </c>
      <c r="D44" s="7">
        <f t="shared" ref="D44:D78" si="2">K44-L44</f>
        <v>8.82</v>
      </c>
      <c r="E44" s="7"/>
      <c r="F44" s="7">
        <f t="shared" ref="F44:F78" si="3">K44+L44</f>
        <v>9.18</v>
      </c>
      <c r="G44" s="6" t="s">
        <v>54</v>
      </c>
      <c r="H44" s="6" t="str">
        <f t="shared" ref="H44:H78" si="4">IF(ISBLANK(E44),"Not Done",IF(AND(E44&lt;=F44,E44&gt;=D44),"Pass","Fail"))</f>
        <v>Not Done</v>
      </c>
      <c r="K44">
        <f>2*T44*N44</f>
        <v>9</v>
      </c>
      <c r="L44">
        <f>M44%*T44*2*N44</f>
        <v>0.18</v>
      </c>
      <c r="M44" s="9">
        <v>2</v>
      </c>
      <c r="N44" s="9">
        <f>IF(G44="mV",1000,1)</f>
        <v>1000</v>
      </c>
      <c r="O44" s="9"/>
      <c r="P44" s="9" t="s">
        <v>72</v>
      </c>
      <c r="Q44" s="9">
        <v>1</v>
      </c>
      <c r="R44" s="9" t="s">
        <v>42</v>
      </c>
      <c r="S44" s="9">
        <v>1E-3</v>
      </c>
      <c r="T44" s="9">
        <v>4.4999999999999997E-3</v>
      </c>
      <c r="U44" s="9">
        <v>0</v>
      </c>
      <c r="V44" s="9" t="s">
        <v>73</v>
      </c>
      <c r="W44" s="9" t="s">
        <v>43</v>
      </c>
    </row>
    <row r="45" spans="1:24" x14ac:dyDescent="0.3">
      <c r="B45" s="10" t="s">
        <v>71</v>
      </c>
      <c r="C45" s="6" t="s">
        <v>55</v>
      </c>
      <c r="D45" s="7">
        <f t="shared" ref="D45" si="5">K45-L45</f>
        <v>17.82</v>
      </c>
      <c r="E45" s="7"/>
      <c r="F45" s="7">
        <f t="shared" ref="F45" si="6">K45+L45</f>
        <v>18.18</v>
      </c>
      <c r="G45" s="6" t="s">
        <v>54</v>
      </c>
      <c r="H45" s="6" t="str">
        <f t="shared" ref="H45" si="7">IF(ISBLANK(E45),"Not Done",IF(AND(E45&lt;=F45,E45&gt;=D45),"Pass","Fail"))</f>
        <v>Not Done</v>
      </c>
      <c r="K45">
        <f t="shared" ref="K45:K108" si="8">2*T45*N45</f>
        <v>18</v>
      </c>
      <c r="L45">
        <f t="shared" ref="L45:L108" si="9">M45%*T45*2*N45</f>
        <v>0.18</v>
      </c>
      <c r="M45" s="9">
        <v>1</v>
      </c>
      <c r="N45" s="9">
        <f t="shared" ref="N45:N108" si="10">IF(G45="mV",1000,1)</f>
        <v>1000</v>
      </c>
      <c r="O45" s="9"/>
      <c r="P45" s="9" t="s">
        <v>72</v>
      </c>
      <c r="Q45" s="9">
        <v>1</v>
      </c>
      <c r="R45" s="9" t="s">
        <v>42</v>
      </c>
      <c r="S45" s="9">
        <v>2E-3</v>
      </c>
      <c r="T45" s="9">
        <v>8.9999999999999993E-3</v>
      </c>
      <c r="U45" s="9">
        <v>0</v>
      </c>
      <c r="V45" s="9" t="s">
        <v>73</v>
      </c>
      <c r="W45" s="9" t="s">
        <v>43</v>
      </c>
    </row>
    <row r="46" spans="1:24" x14ac:dyDescent="0.3">
      <c r="B46" s="10" t="s">
        <v>71</v>
      </c>
      <c r="C46" s="6" t="s">
        <v>56</v>
      </c>
      <c r="D46" s="17">
        <f t="shared" si="2"/>
        <v>44.55</v>
      </c>
      <c r="E46" s="7"/>
      <c r="F46" s="17">
        <f t="shared" si="3"/>
        <v>45.45</v>
      </c>
      <c r="G46" s="6" t="s">
        <v>54</v>
      </c>
      <c r="H46" s="6" t="str">
        <f t="shared" si="4"/>
        <v>Not Done</v>
      </c>
      <c r="K46">
        <f t="shared" si="8"/>
        <v>45</v>
      </c>
      <c r="L46">
        <f t="shared" si="9"/>
        <v>0.45</v>
      </c>
      <c r="M46" s="9">
        <v>1</v>
      </c>
      <c r="N46" s="9">
        <f t="shared" si="10"/>
        <v>1000</v>
      </c>
      <c r="O46" s="9"/>
      <c r="P46" s="9" t="s">
        <v>72</v>
      </c>
      <c r="Q46" s="9">
        <v>1</v>
      </c>
      <c r="R46" s="9" t="s">
        <v>42</v>
      </c>
      <c r="S46" s="9">
        <v>5.0000000000000001E-3</v>
      </c>
      <c r="T46" s="9">
        <v>2.2499999999999999E-2</v>
      </c>
      <c r="U46" s="9">
        <v>0</v>
      </c>
      <c r="V46" s="9" t="s">
        <v>73</v>
      </c>
      <c r="W46" s="9" t="s">
        <v>43</v>
      </c>
    </row>
    <row r="47" spans="1:24" x14ac:dyDescent="0.3">
      <c r="B47" s="10" t="s">
        <v>71</v>
      </c>
      <c r="C47" s="6" t="s">
        <v>57</v>
      </c>
      <c r="D47" s="17">
        <f t="shared" si="2"/>
        <v>89.1</v>
      </c>
      <c r="E47" s="7"/>
      <c r="F47" s="17">
        <f t="shared" si="3"/>
        <v>90.9</v>
      </c>
      <c r="G47" s="6" t="s">
        <v>54</v>
      </c>
      <c r="H47" s="6" t="str">
        <f t="shared" si="4"/>
        <v>Not Done</v>
      </c>
      <c r="K47">
        <f t="shared" si="8"/>
        <v>90</v>
      </c>
      <c r="L47">
        <f t="shared" si="9"/>
        <v>0.9</v>
      </c>
      <c r="M47" s="9">
        <v>1</v>
      </c>
      <c r="N47" s="9">
        <f t="shared" si="10"/>
        <v>1000</v>
      </c>
      <c r="O47" s="9"/>
      <c r="P47" s="9" t="s">
        <v>72</v>
      </c>
      <c r="Q47" s="9">
        <v>1</v>
      </c>
      <c r="R47" s="9" t="s">
        <v>42</v>
      </c>
      <c r="S47" s="9">
        <v>0.01</v>
      </c>
      <c r="T47" s="9">
        <v>4.4999999999999998E-2</v>
      </c>
      <c r="U47" s="9">
        <v>0</v>
      </c>
      <c r="V47" s="9" t="s">
        <v>73</v>
      </c>
      <c r="W47" s="9" t="s">
        <v>43</v>
      </c>
    </row>
    <row r="48" spans="1:24" x14ac:dyDescent="0.3">
      <c r="B48" s="10" t="s">
        <v>71</v>
      </c>
      <c r="C48" s="6" t="s">
        <v>58</v>
      </c>
      <c r="D48" s="17">
        <f t="shared" si="2"/>
        <v>178.2</v>
      </c>
      <c r="E48" s="17"/>
      <c r="F48" s="17">
        <f t="shared" si="3"/>
        <v>181.8</v>
      </c>
      <c r="G48" s="6" t="s">
        <v>54</v>
      </c>
      <c r="H48" s="6" t="str">
        <f t="shared" si="4"/>
        <v>Not Done</v>
      </c>
      <c r="K48">
        <f t="shared" si="8"/>
        <v>180</v>
      </c>
      <c r="L48">
        <f t="shared" si="9"/>
        <v>1.8</v>
      </c>
      <c r="M48" s="9">
        <v>1</v>
      </c>
      <c r="N48" s="9">
        <f t="shared" si="10"/>
        <v>1000</v>
      </c>
      <c r="O48" s="9"/>
      <c r="P48" s="9" t="s">
        <v>72</v>
      </c>
      <c r="Q48" s="9">
        <v>1</v>
      </c>
      <c r="R48" s="9" t="s">
        <v>42</v>
      </c>
      <c r="S48" s="9">
        <v>0.02</v>
      </c>
      <c r="T48" s="9">
        <v>0.09</v>
      </c>
      <c r="U48" s="9">
        <v>0</v>
      </c>
      <c r="V48" s="9" t="s">
        <v>73</v>
      </c>
      <c r="W48" s="9" t="s">
        <v>43</v>
      </c>
    </row>
    <row r="49" spans="2:23" x14ac:dyDescent="0.3">
      <c r="B49" s="10" t="s">
        <v>71</v>
      </c>
      <c r="C49" s="6" t="s">
        <v>64</v>
      </c>
      <c r="D49" s="14">
        <f t="shared" si="2"/>
        <v>445.5</v>
      </c>
      <c r="E49" s="17"/>
      <c r="F49" s="14">
        <f t="shared" si="3"/>
        <v>454.5</v>
      </c>
      <c r="G49" s="6" t="s">
        <v>54</v>
      </c>
      <c r="H49" s="6" t="str">
        <f t="shared" si="4"/>
        <v>Not Done</v>
      </c>
      <c r="K49">
        <f t="shared" si="8"/>
        <v>450</v>
      </c>
      <c r="L49">
        <f t="shared" si="9"/>
        <v>4.5000000000000009</v>
      </c>
      <c r="M49" s="9">
        <v>1</v>
      </c>
      <c r="N49" s="9">
        <f t="shared" si="10"/>
        <v>1000</v>
      </c>
      <c r="O49" s="9"/>
      <c r="P49" s="9" t="s">
        <v>72</v>
      </c>
      <c r="Q49" s="9">
        <v>1</v>
      </c>
      <c r="R49" s="9" t="s">
        <v>42</v>
      </c>
      <c r="S49" s="9">
        <v>0.05</v>
      </c>
      <c r="T49" s="9">
        <v>0.22500000000000001</v>
      </c>
      <c r="U49" s="9">
        <v>0</v>
      </c>
      <c r="V49" s="9" t="s">
        <v>73</v>
      </c>
      <c r="W49" s="9" t="s">
        <v>43</v>
      </c>
    </row>
    <row r="50" spans="2:23" x14ac:dyDescent="0.3">
      <c r="B50" s="10" t="s">
        <v>71</v>
      </c>
      <c r="C50" s="6" t="s">
        <v>59</v>
      </c>
      <c r="D50" s="14">
        <f t="shared" si="2"/>
        <v>891</v>
      </c>
      <c r="E50" s="17"/>
      <c r="F50" s="14">
        <f t="shared" si="3"/>
        <v>909</v>
      </c>
      <c r="G50" s="6" t="s">
        <v>54</v>
      </c>
      <c r="H50" s="6" t="str">
        <f t="shared" si="4"/>
        <v>Not Done</v>
      </c>
      <c r="K50">
        <f t="shared" si="8"/>
        <v>900</v>
      </c>
      <c r="L50">
        <f t="shared" si="9"/>
        <v>9.0000000000000018</v>
      </c>
      <c r="M50" s="9">
        <v>1</v>
      </c>
      <c r="N50" s="9">
        <f t="shared" si="10"/>
        <v>1000</v>
      </c>
      <c r="O50" s="9"/>
      <c r="P50" s="9" t="s">
        <v>72</v>
      </c>
      <c r="Q50" s="9">
        <v>1</v>
      </c>
      <c r="R50" s="9" t="s">
        <v>42</v>
      </c>
      <c r="S50" s="9">
        <v>0.1</v>
      </c>
      <c r="T50" s="9">
        <v>0.45</v>
      </c>
      <c r="U50" s="9">
        <v>0</v>
      </c>
      <c r="V50" s="9" t="s">
        <v>73</v>
      </c>
      <c r="W50" s="9" t="s">
        <v>43</v>
      </c>
    </row>
    <row r="51" spans="2:23" x14ac:dyDescent="0.3">
      <c r="B51" s="10" t="s">
        <v>71</v>
      </c>
      <c r="C51" s="6" t="s">
        <v>65</v>
      </c>
      <c r="D51" s="8">
        <f t="shared" si="2"/>
        <v>1.782</v>
      </c>
      <c r="E51" s="8"/>
      <c r="F51" s="8">
        <f t="shared" si="3"/>
        <v>1.8180000000000001</v>
      </c>
      <c r="G51" s="6" t="s">
        <v>62</v>
      </c>
      <c r="H51" s="6" t="str">
        <f t="shared" si="4"/>
        <v>Not Done</v>
      </c>
      <c r="K51">
        <f t="shared" si="8"/>
        <v>1.8</v>
      </c>
      <c r="L51">
        <f t="shared" si="9"/>
        <v>1.8000000000000002E-2</v>
      </c>
      <c r="M51" s="9">
        <v>1</v>
      </c>
      <c r="N51" s="9">
        <f t="shared" si="10"/>
        <v>1</v>
      </c>
      <c r="O51" s="9"/>
      <c r="P51" s="9" t="s">
        <v>72</v>
      </c>
      <c r="Q51" s="9">
        <v>1</v>
      </c>
      <c r="R51" s="9" t="s">
        <v>42</v>
      </c>
      <c r="S51" s="9">
        <v>0.2</v>
      </c>
      <c r="T51" s="9">
        <v>0.9</v>
      </c>
      <c r="U51" s="9">
        <v>0</v>
      </c>
      <c r="V51" s="9" t="s">
        <v>73</v>
      </c>
      <c r="W51" s="9" t="s">
        <v>43</v>
      </c>
    </row>
    <row r="52" spans="2:23" x14ac:dyDescent="0.3">
      <c r="B52" s="10" t="s">
        <v>71</v>
      </c>
      <c r="C52" s="6" t="s">
        <v>60</v>
      </c>
      <c r="D52" s="7">
        <f t="shared" si="2"/>
        <v>4.4550000000000001</v>
      </c>
      <c r="E52" s="8"/>
      <c r="F52" s="7">
        <f t="shared" si="3"/>
        <v>4.5449999999999999</v>
      </c>
      <c r="G52" s="6" t="s">
        <v>62</v>
      </c>
      <c r="H52" s="6" t="str">
        <f t="shared" si="4"/>
        <v>Not Done</v>
      </c>
      <c r="K52">
        <f t="shared" si="8"/>
        <v>4.5</v>
      </c>
      <c r="L52">
        <f t="shared" si="9"/>
        <v>4.4999999999999998E-2</v>
      </c>
      <c r="M52" s="9">
        <v>1</v>
      </c>
      <c r="N52" s="9">
        <f t="shared" si="10"/>
        <v>1</v>
      </c>
      <c r="O52" s="9"/>
      <c r="P52" s="9" t="s">
        <v>72</v>
      </c>
      <c r="Q52" s="9">
        <v>1</v>
      </c>
      <c r="R52" s="9" t="s">
        <v>42</v>
      </c>
      <c r="S52" s="9">
        <v>0.5</v>
      </c>
      <c r="T52" s="9">
        <v>2.25</v>
      </c>
      <c r="U52" s="9">
        <v>0</v>
      </c>
      <c r="V52" s="9" t="s">
        <v>73</v>
      </c>
      <c r="W52" s="9" t="s">
        <v>43</v>
      </c>
    </row>
    <row r="53" spans="2:23" x14ac:dyDescent="0.3">
      <c r="B53" s="10" t="s">
        <v>71</v>
      </c>
      <c r="C53" s="6" t="s">
        <v>61</v>
      </c>
      <c r="D53" s="7">
        <f t="shared" si="2"/>
        <v>8.91</v>
      </c>
      <c r="E53" s="8"/>
      <c r="F53" s="7">
        <f t="shared" si="3"/>
        <v>9.09</v>
      </c>
      <c r="G53" s="6" t="s">
        <v>62</v>
      </c>
      <c r="H53" s="6" t="str">
        <f t="shared" si="4"/>
        <v>Not Done</v>
      </c>
      <c r="K53">
        <f t="shared" si="8"/>
        <v>9</v>
      </c>
      <c r="L53">
        <f t="shared" si="9"/>
        <v>0.09</v>
      </c>
      <c r="M53" s="9">
        <v>1</v>
      </c>
      <c r="N53" s="9">
        <f t="shared" si="10"/>
        <v>1</v>
      </c>
      <c r="O53" s="9"/>
      <c r="P53" s="9" t="s">
        <v>72</v>
      </c>
      <c r="Q53" s="9">
        <v>1</v>
      </c>
      <c r="R53" s="9" t="s">
        <v>42</v>
      </c>
      <c r="S53" s="9">
        <v>1</v>
      </c>
      <c r="T53" s="9">
        <v>4.5</v>
      </c>
      <c r="U53" s="9">
        <v>0</v>
      </c>
      <c r="V53" s="9" t="s">
        <v>73</v>
      </c>
      <c r="W53" s="9" t="s">
        <v>43</v>
      </c>
    </row>
    <row r="54" spans="2:23" x14ac:dyDescent="0.3">
      <c r="B54" s="10" t="s">
        <v>74</v>
      </c>
      <c r="C54" s="6" t="s">
        <v>58</v>
      </c>
      <c r="D54" s="17">
        <f t="shared" si="2"/>
        <v>178.2</v>
      </c>
      <c r="E54" s="17"/>
      <c r="F54" s="17">
        <f t="shared" si="3"/>
        <v>181.8</v>
      </c>
      <c r="G54" s="6" t="s">
        <v>54</v>
      </c>
      <c r="H54" s="6" t="str">
        <f t="shared" si="4"/>
        <v>Not Done</v>
      </c>
      <c r="K54">
        <f t="shared" si="8"/>
        <v>180</v>
      </c>
      <c r="L54">
        <f t="shared" si="9"/>
        <v>1.8</v>
      </c>
      <c r="M54" s="9">
        <v>1</v>
      </c>
      <c r="N54" s="9">
        <f t="shared" si="10"/>
        <v>1000</v>
      </c>
      <c r="O54" s="9"/>
      <c r="P54" s="9" t="s">
        <v>72</v>
      </c>
      <c r="Q54" s="9">
        <v>1</v>
      </c>
      <c r="R54" s="9" t="s">
        <v>42</v>
      </c>
      <c r="S54" s="9">
        <v>0.02</v>
      </c>
      <c r="T54" s="9">
        <v>0.09</v>
      </c>
      <c r="U54" s="9">
        <v>0</v>
      </c>
      <c r="V54" s="9" t="s">
        <v>75</v>
      </c>
      <c r="W54" s="9" t="s">
        <v>43</v>
      </c>
    </row>
    <row r="55" spans="2:23" x14ac:dyDescent="0.3">
      <c r="B55" s="10" t="s">
        <v>76</v>
      </c>
      <c r="C55" s="6" t="s">
        <v>58</v>
      </c>
      <c r="D55" s="17">
        <f t="shared" si="2"/>
        <v>178.2</v>
      </c>
      <c r="E55" s="17"/>
      <c r="F55" s="17">
        <f t="shared" si="3"/>
        <v>181.8</v>
      </c>
      <c r="G55" s="6" t="s">
        <v>54</v>
      </c>
      <c r="H55" s="6" t="str">
        <f t="shared" si="4"/>
        <v>Not Done</v>
      </c>
      <c r="K55">
        <f t="shared" si="8"/>
        <v>180</v>
      </c>
      <c r="L55">
        <f t="shared" si="9"/>
        <v>1.8</v>
      </c>
      <c r="M55" s="9">
        <v>1</v>
      </c>
      <c r="N55" s="9">
        <f t="shared" si="10"/>
        <v>1000</v>
      </c>
      <c r="O55" s="9"/>
      <c r="P55" s="9" t="s">
        <v>72</v>
      </c>
      <c r="Q55" s="9">
        <v>1</v>
      </c>
      <c r="R55" s="9" t="s">
        <v>42</v>
      </c>
      <c r="S55" s="9">
        <v>0.02</v>
      </c>
      <c r="T55" s="9">
        <v>0.09</v>
      </c>
      <c r="U55" s="9">
        <v>0</v>
      </c>
      <c r="V55" s="9" t="s">
        <v>63</v>
      </c>
      <c r="W55" s="9" t="s">
        <v>43</v>
      </c>
    </row>
    <row r="56" spans="2:23" x14ac:dyDescent="0.3">
      <c r="B56" s="10" t="s">
        <v>77</v>
      </c>
      <c r="C56" s="6" t="s">
        <v>53</v>
      </c>
      <c r="D56" s="17">
        <f t="shared" ref="D56" si="11">K56-L56</f>
        <v>8.7750000000000004</v>
      </c>
      <c r="E56" s="7"/>
      <c r="F56" s="17">
        <f t="shared" ref="F56" si="12">K56+L56</f>
        <v>9.2249999999999996</v>
      </c>
      <c r="G56" s="6" t="s">
        <v>54</v>
      </c>
      <c r="H56" s="6" t="str">
        <f t="shared" ref="H56" si="13">IF(ISBLANK(E56),"Not Done",IF(AND(E56&lt;=F56,E56&gt;=D56),"Pass","Fail"))</f>
        <v>Not Done</v>
      </c>
      <c r="K56">
        <f t="shared" si="8"/>
        <v>9</v>
      </c>
      <c r="L56">
        <f t="shared" si="9"/>
        <v>0.22500000000000001</v>
      </c>
      <c r="M56" s="9">
        <v>2.5</v>
      </c>
      <c r="N56" s="9">
        <f t="shared" si="10"/>
        <v>1000</v>
      </c>
      <c r="O56" s="9"/>
      <c r="P56" s="9" t="s">
        <v>72</v>
      </c>
      <c r="Q56" s="9">
        <v>1</v>
      </c>
      <c r="R56" s="9" t="s">
        <v>42</v>
      </c>
      <c r="S56" s="9">
        <v>1E-3</v>
      </c>
      <c r="T56" s="9">
        <v>4.4999999999999997E-3</v>
      </c>
      <c r="U56" s="9">
        <v>0</v>
      </c>
      <c r="V56" s="9" t="s">
        <v>73</v>
      </c>
      <c r="W56" s="9">
        <v>50</v>
      </c>
    </row>
    <row r="57" spans="2:23" x14ac:dyDescent="0.3">
      <c r="B57" s="10" t="s">
        <v>77</v>
      </c>
      <c r="C57" s="6" t="s">
        <v>55</v>
      </c>
      <c r="D57" s="7">
        <f t="shared" si="2"/>
        <v>17.82</v>
      </c>
      <c r="E57" s="7"/>
      <c r="F57" s="7">
        <f t="shared" si="3"/>
        <v>18.18</v>
      </c>
      <c r="G57" s="6" t="s">
        <v>54</v>
      </c>
      <c r="H57" s="6" t="str">
        <f t="shared" si="4"/>
        <v>Not Done</v>
      </c>
      <c r="K57">
        <f t="shared" si="8"/>
        <v>18</v>
      </c>
      <c r="L57">
        <f t="shared" si="9"/>
        <v>0.18</v>
      </c>
      <c r="M57" s="9">
        <v>1</v>
      </c>
      <c r="N57" s="9">
        <f t="shared" si="10"/>
        <v>1000</v>
      </c>
      <c r="O57" s="9"/>
      <c r="P57" s="9" t="s">
        <v>72</v>
      </c>
      <c r="Q57" s="9">
        <v>1</v>
      </c>
      <c r="R57" s="9" t="s">
        <v>42</v>
      </c>
      <c r="S57" s="9">
        <v>2E-3</v>
      </c>
      <c r="T57" s="9">
        <v>8.9999999999999993E-3</v>
      </c>
      <c r="U57" s="9">
        <v>0</v>
      </c>
      <c r="V57" s="9" t="s">
        <v>73</v>
      </c>
      <c r="W57" s="9">
        <v>50</v>
      </c>
    </row>
    <row r="58" spans="2:23" x14ac:dyDescent="0.3">
      <c r="B58" s="10" t="s">
        <v>77</v>
      </c>
      <c r="C58" s="6" t="s">
        <v>56</v>
      </c>
      <c r="D58" s="17">
        <f t="shared" si="2"/>
        <v>44.55</v>
      </c>
      <c r="E58" s="7"/>
      <c r="F58" s="17">
        <f t="shared" si="3"/>
        <v>45.45</v>
      </c>
      <c r="G58" s="6" t="s">
        <v>54</v>
      </c>
      <c r="H58" s="6" t="str">
        <f t="shared" si="4"/>
        <v>Not Done</v>
      </c>
      <c r="K58">
        <f t="shared" si="8"/>
        <v>45</v>
      </c>
      <c r="L58">
        <f t="shared" si="9"/>
        <v>0.45</v>
      </c>
      <c r="M58" s="9">
        <v>1</v>
      </c>
      <c r="N58" s="9">
        <f t="shared" si="10"/>
        <v>1000</v>
      </c>
      <c r="O58" s="9"/>
      <c r="P58" s="9" t="s">
        <v>72</v>
      </c>
      <c r="Q58" s="9">
        <v>1</v>
      </c>
      <c r="R58" s="9" t="s">
        <v>42</v>
      </c>
      <c r="S58" s="9">
        <v>5.0000000000000001E-3</v>
      </c>
      <c r="T58" s="9">
        <v>2.2499999999999999E-2</v>
      </c>
      <c r="U58" s="9">
        <v>0</v>
      </c>
      <c r="V58" s="9" t="s">
        <v>73</v>
      </c>
      <c r="W58" s="9">
        <v>50</v>
      </c>
    </row>
    <row r="59" spans="2:23" x14ac:dyDescent="0.3">
      <c r="B59" s="10" t="s">
        <v>77</v>
      </c>
      <c r="C59" s="6" t="s">
        <v>57</v>
      </c>
      <c r="D59" s="17">
        <f t="shared" si="2"/>
        <v>89.1</v>
      </c>
      <c r="E59" s="7"/>
      <c r="F59" s="17">
        <f t="shared" si="3"/>
        <v>90.9</v>
      </c>
      <c r="G59" s="6" t="s">
        <v>54</v>
      </c>
      <c r="H59" s="6" t="str">
        <f t="shared" si="4"/>
        <v>Not Done</v>
      </c>
      <c r="K59">
        <f t="shared" si="8"/>
        <v>90</v>
      </c>
      <c r="L59">
        <f t="shared" si="9"/>
        <v>0.9</v>
      </c>
      <c r="M59" s="9">
        <v>1</v>
      </c>
      <c r="N59" s="9">
        <f t="shared" si="10"/>
        <v>1000</v>
      </c>
      <c r="O59" s="9"/>
      <c r="P59" s="9" t="s">
        <v>72</v>
      </c>
      <c r="Q59" s="9">
        <v>1</v>
      </c>
      <c r="R59" s="9" t="s">
        <v>42</v>
      </c>
      <c r="S59" s="9">
        <v>0.01</v>
      </c>
      <c r="T59" s="9">
        <v>4.4999999999999998E-2</v>
      </c>
      <c r="U59" s="9">
        <v>0</v>
      </c>
      <c r="V59" s="9" t="s">
        <v>73</v>
      </c>
      <c r="W59" s="9">
        <v>50</v>
      </c>
    </row>
    <row r="60" spans="2:23" x14ac:dyDescent="0.3">
      <c r="B60" s="10" t="s">
        <v>77</v>
      </c>
      <c r="C60" s="6" t="s">
        <v>58</v>
      </c>
      <c r="D60" s="17">
        <f t="shared" si="2"/>
        <v>178.2</v>
      </c>
      <c r="E60" s="17"/>
      <c r="F60" s="17">
        <f t="shared" si="3"/>
        <v>181.8</v>
      </c>
      <c r="G60" s="6" t="s">
        <v>54</v>
      </c>
      <c r="H60" s="6" t="str">
        <f t="shared" si="4"/>
        <v>Not Done</v>
      </c>
      <c r="K60">
        <f t="shared" si="8"/>
        <v>180</v>
      </c>
      <c r="L60">
        <f t="shared" si="9"/>
        <v>1.8</v>
      </c>
      <c r="M60" s="9">
        <v>1</v>
      </c>
      <c r="N60" s="9">
        <f t="shared" si="10"/>
        <v>1000</v>
      </c>
      <c r="O60" s="9"/>
      <c r="P60" s="9" t="s">
        <v>72</v>
      </c>
      <c r="Q60" s="9">
        <v>1</v>
      </c>
      <c r="R60" s="9" t="s">
        <v>42</v>
      </c>
      <c r="S60" s="9">
        <v>0.02</v>
      </c>
      <c r="T60" s="9">
        <v>0.09</v>
      </c>
      <c r="U60" s="9">
        <v>0</v>
      </c>
      <c r="V60" s="9" t="s">
        <v>73</v>
      </c>
      <c r="W60" s="9">
        <v>50</v>
      </c>
    </row>
    <row r="61" spans="2:23" x14ac:dyDescent="0.3">
      <c r="B61" s="10" t="s">
        <v>77</v>
      </c>
      <c r="C61" s="6" t="s">
        <v>64</v>
      </c>
      <c r="D61" s="14">
        <f t="shared" si="2"/>
        <v>445.5</v>
      </c>
      <c r="E61" s="17"/>
      <c r="F61" s="14">
        <f t="shared" si="3"/>
        <v>454.5</v>
      </c>
      <c r="G61" s="6" t="s">
        <v>54</v>
      </c>
      <c r="H61" s="6" t="str">
        <f t="shared" si="4"/>
        <v>Not Done</v>
      </c>
      <c r="K61">
        <f t="shared" si="8"/>
        <v>450</v>
      </c>
      <c r="L61">
        <f t="shared" si="9"/>
        <v>4.5000000000000009</v>
      </c>
      <c r="M61" s="9">
        <v>1</v>
      </c>
      <c r="N61" s="9">
        <f t="shared" si="10"/>
        <v>1000</v>
      </c>
      <c r="O61" s="9"/>
      <c r="P61" s="9" t="s">
        <v>72</v>
      </c>
      <c r="Q61" s="9">
        <v>1</v>
      </c>
      <c r="R61" s="9" t="s">
        <v>42</v>
      </c>
      <c r="S61" s="9">
        <v>0.05</v>
      </c>
      <c r="T61" s="9">
        <v>0.22500000000000001</v>
      </c>
      <c r="U61" s="9">
        <v>0</v>
      </c>
      <c r="V61" s="9" t="s">
        <v>73</v>
      </c>
      <c r="W61" s="9">
        <v>50</v>
      </c>
    </row>
    <row r="62" spans="2:23" x14ac:dyDescent="0.3">
      <c r="B62" s="10" t="s">
        <v>77</v>
      </c>
      <c r="C62" s="6" t="s">
        <v>59</v>
      </c>
      <c r="D62" s="14">
        <f t="shared" si="2"/>
        <v>891</v>
      </c>
      <c r="E62" s="17"/>
      <c r="F62" s="14">
        <f t="shared" si="3"/>
        <v>909</v>
      </c>
      <c r="G62" s="6" t="s">
        <v>54</v>
      </c>
      <c r="H62" s="6" t="str">
        <f t="shared" si="4"/>
        <v>Not Done</v>
      </c>
      <c r="K62">
        <f t="shared" si="8"/>
        <v>900</v>
      </c>
      <c r="L62">
        <f t="shared" si="9"/>
        <v>9.0000000000000018</v>
      </c>
      <c r="M62" s="9">
        <v>1</v>
      </c>
      <c r="N62" s="9">
        <f t="shared" si="10"/>
        <v>1000</v>
      </c>
      <c r="O62" s="9"/>
      <c r="P62" s="9" t="s">
        <v>72</v>
      </c>
      <c r="Q62" s="9">
        <v>1</v>
      </c>
      <c r="R62" s="9" t="s">
        <v>42</v>
      </c>
      <c r="S62" s="9">
        <v>0.1</v>
      </c>
      <c r="T62" s="9">
        <v>0.45</v>
      </c>
      <c r="U62" s="9">
        <v>0</v>
      </c>
      <c r="V62" s="9" t="s">
        <v>73</v>
      </c>
      <c r="W62" s="9">
        <v>50</v>
      </c>
    </row>
    <row r="63" spans="2:23" x14ac:dyDescent="0.3">
      <c r="B63" s="10" t="s">
        <v>77</v>
      </c>
      <c r="C63" s="6" t="s">
        <v>65</v>
      </c>
      <c r="D63" s="8">
        <f t="shared" si="2"/>
        <v>1.782</v>
      </c>
      <c r="E63" s="8"/>
      <c r="F63" s="8">
        <f t="shared" si="3"/>
        <v>1.8180000000000001</v>
      </c>
      <c r="G63" s="6" t="s">
        <v>62</v>
      </c>
      <c r="H63" s="6" t="str">
        <f t="shared" si="4"/>
        <v>Not Done</v>
      </c>
      <c r="K63">
        <f t="shared" si="8"/>
        <v>1.8</v>
      </c>
      <c r="L63">
        <f t="shared" si="9"/>
        <v>1.8000000000000002E-2</v>
      </c>
      <c r="M63" s="9">
        <v>1</v>
      </c>
      <c r="N63" s="9">
        <f t="shared" si="10"/>
        <v>1</v>
      </c>
      <c r="O63" s="9"/>
      <c r="P63" s="9" t="s">
        <v>72</v>
      </c>
      <c r="Q63" s="9">
        <v>1</v>
      </c>
      <c r="R63" s="9" t="s">
        <v>42</v>
      </c>
      <c r="S63" s="9">
        <v>0.2</v>
      </c>
      <c r="T63" s="9">
        <v>0.9</v>
      </c>
      <c r="U63" s="9">
        <v>0</v>
      </c>
      <c r="V63" s="9" t="s">
        <v>73</v>
      </c>
      <c r="W63" s="9">
        <v>50</v>
      </c>
    </row>
    <row r="64" spans="2:23" x14ac:dyDescent="0.3">
      <c r="B64" s="10" t="s">
        <v>77</v>
      </c>
      <c r="C64" s="6" t="s">
        <v>60</v>
      </c>
      <c r="D64" s="7">
        <f t="shared" si="2"/>
        <v>4.4550000000000001</v>
      </c>
      <c r="E64" s="8"/>
      <c r="F64" s="7">
        <f t="shared" si="3"/>
        <v>4.5449999999999999</v>
      </c>
      <c r="G64" s="6" t="s">
        <v>62</v>
      </c>
      <c r="H64" s="6" t="str">
        <f t="shared" si="4"/>
        <v>Not Done</v>
      </c>
      <c r="K64">
        <f t="shared" si="8"/>
        <v>4.5</v>
      </c>
      <c r="L64">
        <f t="shared" si="9"/>
        <v>4.4999999999999998E-2</v>
      </c>
      <c r="M64" s="9">
        <v>1</v>
      </c>
      <c r="N64" s="9">
        <f t="shared" si="10"/>
        <v>1</v>
      </c>
      <c r="O64" s="9"/>
      <c r="P64" s="9" t="s">
        <v>72</v>
      </c>
      <c r="Q64" s="9">
        <v>1</v>
      </c>
      <c r="R64" s="9" t="s">
        <v>42</v>
      </c>
      <c r="S64" s="9">
        <v>0.5</v>
      </c>
      <c r="T64" s="9">
        <v>2.25</v>
      </c>
      <c r="U64" s="9">
        <v>0</v>
      </c>
      <c r="V64" s="9" t="s">
        <v>73</v>
      </c>
      <c r="W64" s="9">
        <v>50</v>
      </c>
    </row>
    <row r="65" spans="2:23" x14ac:dyDescent="0.3">
      <c r="B65" s="10" t="s">
        <v>77</v>
      </c>
      <c r="C65" s="6" t="s">
        <v>61</v>
      </c>
      <c r="D65" s="7">
        <f t="shared" si="2"/>
        <v>5.94</v>
      </c>
      <c r="E65" s="8"/>
      <c r="F65" s="7">
        <f t="shared" si="3"/>
        <v>6.06</v>
      </c>
      <c r="G65" s="6" t="s">
        <v>62</v>
      </c>
      <c r="H65" s="6" t="str">
        <f t="shared" si="4"/>
        <v>Not Done</v>
      </c>
      <c r="K65">
        <f t="shared" si="8"/>
        <v>6</v>
      </c>
      <c r="L65">
        <f t="shared" si="9"/>
        <v>0.06</v>
      </c>
      <c r="M65" s="9">
        <v>1</v>
      </c>
      <c r="N65" s="9">
        <f t="shared" si="10"/>
        <v>1</v>
      </c>
      <c r="O65" s="9"/>
      <c r="P65" s="9" t="s">
        <v>72</v>
      </c>
      <c r="Q65" s="9">
        <v>1</v>
      </c>
      <c r="R65" s="9" t="s">
        <v>42</v>
      </c>
      <c r="S65" s="9">
        <v>1</v>
      </c>
      <c r="T65" s="9">
        <v>3</v>
      </c>
      <c r="U65" s="9">
        <v>0</v>
      </c>
      <c r="V65" s="9" t="s">
        <v>73</v>
      </c>
      <c r="W65" s="9">
        <v>50</v>
      </c>
    </row>
    <row r="66" spans="2:23" x14ac:dyDescent="0.3">
      <c r="B66" s="10" t="s">
        <v>78</v>
      </c>
      <c r="C66" s="6" t="s">
        <v>58</v>
      </c>
      <c r="D66" s="17">
        <f t="shared" si="2"/>
        <v>178.2</v>
      </c>
      <c r="E66" s="7"/>
      <c r="F66" s="17">
        <f t="shared" si="3"/>
        <v>181.8</v>
      </c>
      <c r="G66" s="6" t="s">
        <v>54</v>
      </c>
      <c r="H66" s="6" t="str">
        <f t="shared" si="4"/>
        <v>Not Done</v>
      </c>
      <c r="K66">
        <f t="shared" si="8"/>
        <v>180</v>
      </c>
      <c r="L66">
        <f t="shared" si="9"/>
        <v>1.8</v>
      </c>
      <c r="M66" s="9">
        <v>1</v>
      </c>
      <c r="N66" s="9">
        <f t="shared" si="10"/>
        <v>1000</v>
      </c>
      <c r="O66" s="9"/>
      <c r="P66" s="9" t="s">
        <v>72</v>
      </c>
      <c r="Q66" s="9">
        <v>1</v>
      </c>
      <c r="R66" s="9" t="s">
        <v>42</v>
      </c>
      <c r="S66" s="9">
        <v>0.02</v>
      </c>
      <c r="T66" s="9">
        <v>0.09</v>
      </c>
      <c r="U66" s="9">
        <v>0</v>
      </c>
      <c r="V66" s="9" t="s">
        <v>75</v>
      </c>
      <c r="W66" s="9">
        <v>50</v>
      </c>
    </row>
    <row r="67" spans="2:23" x14ac:dyDescent="0.3">
      <c r="B67" s="10" t="s">
        <v>79</v>
      </c>
      <c r="C67" s="6" t="s">
        <v>58</v>
      </c>
      <c r="D67" s="17">
        <f t="shared" si="2"/>
        <v>178.2</v>
      </c>
      <c r="E67" s="7"/>
      <c r="F67" s="17">
        <f t="shared" si="3"/>
        <v>181.8</v>
      </c>
      <c r="G67" s="6" t="s">
        <v>54</v>
      </c>
      <c r="H67" s="6" t="str">
        <f t="shared" si="4"/>
        <v>Not Done</v>
      </c>
      <c r="K67">
        <f t="shared" si="8"/>
        <v>180</v>
      </c>
      <c r="L67">
        <f t="shared" si="9"/>
        <v>1.8</v>
      </c>
      <c r="M67" s="9">
        <v>1</v>
      </c>
      <c r="N67" s="9">
        <f t="shared" si="10"/>
        <v>1000</v>
      </c>
      <c r="O67" s="9"/>
      <c r="P67" s="9" t="s">
        <v>72</v>
      </c>
      <c r="Q67" s="9">
        <v>1</v>
      </c>
      <c r="R67" s="9" t="s">
        <v>42</v>
      </c>
      <c r="S67" s="9">
        <v>0.02</v>
      </c>
      <c r="T67" s="9">
        <v>0.09</v>
      </c>
      <c r="U67" s="9">
        <v>0</v>
      </c>
      <c r="V67" s="9" t="s">
        <v>63</v>
      </c>
      <c r="W67" s="9">
        <v>50</v>
      </c>
    </row>
    <row r="68" spans="2:23" x14ac:dyDescent="0.3">
      <c r="B68" s="10" t="s">
        <v>80</v>
      </c>
      <c r="C68" s="6" t="s">
        <v>53</v>
      </c>
      <c r="D68" s="7">
        <f>K68-L68</f>
        <v>8.82</v>
      </c>
      <c r="E68" s="7"/>
      <c r="F68" s="7">
        <f>K68+L68</f>
        <v>9.18</v>
      </c>
      <c r="G68" s="6" t="s">
        <v>54</v>
      </c>
      <c r="H68" s="6" t="str">
        <f>IF(ISBLANK(E68),"Not Done",IF(AND(E68&lt;=F68,E68&gt;=D68),"Pass","Fail"))</f>
        <v>Not Done</v>
      </c>
      <c r="K68">
        <f t="shared" si="8"/>
        <v>9</v>
      </c>
      <c r="L68">
        <f t="shared" si="9"/>
        <v>0.18</v>
      </c>
      <c r="M68" s="9">
        <v>2</v>
      </c>
      <c r="N68" s="9">
        <f t="shared" si="10"/>
        <v>1000</v>
      </c>
      <c r="O68" s="9"/>
      <c r="P68" s="9" t="s">
        <v>72</v>
      </c>
      <c r="Q68" s="9">
        <v>2</v>
      </c>
      <c r="R68" s="9" t="s">
        <v>42</v>
      </c>
      <c r="S68" s="9">
        <v>1E-3</v>
      </c>
      <c r="T68" s="9">
        <v>4.4999999999999997E-3</v>
      </c>
      <c r="U68" s="9">
        <v>0</v>
      </c>
      <c r="V68" s="9" t="s">
        <v>73</v>
      </c>
      <c r="W68" s="9" t="s">
        <v>43</v>
      </c>
    </row>
    <row r="69" spans="2:23" x14ac:dyDescent="0.3">
      <c r="B69" s="10" t="s">
        <v>80</v>
      </c>
      <c r="C69" s="6" t="s">
        <v>55</v>
      </c>
      <c r="D69" s="7">
        <f>K69-L69</f>
        <v>17.82</v>
      </c>
      <c r="E69" s="7"/>
      <c r="F69" s="7">
        <f>K69+L69</f>
        <v>18.18</v>
      </c>
      <c r="G69" s="6" t="s">
        <v>54</v>
      </c>
      <c r="H69" s="6" t="str">
        <f>IF(ISBLANK(E69),"Not Done",IF(AND(E69&lt;=F69,E69&gt;=D69),"Pass","Fail"))</f>
        <v>Not Done</v>
      </c>
      <c r="K69">
        <f t="shared" si="8"/>
        <v>18</v>
      </c>
      <c r="L69">
        <f t="shared" si="9"/>
        <v>0.18</v>
      </c>
      <c r="M69" s="9">
        <v>1</v>
      </c>
      <c r="N69" s="9">
        <f t="shared" si="10"/>
        <v>1000</v>
      </c>
      <c r="O69" s="9"/>
      <c r="P69" s="9" t="s">
        <v>72</v>
      </c>
      <c r="Q69" s="9">
        <v>2</v>
      </c>
      <c r="R69" s="9" t="s">
        <v>42</v>
      </c>
      <c r="S69" s="9">
        <v>2E-3</v>
      </c>
      <c r="T69" s="9">
        <v>8.9999999999999993E-3</v>
      </c>
      <c r="U69" s="9">
        <v>0</v>
      </c>
      <c r="V69" s="9" t="s">
        <v>73</v>
      </c>
      <c r="W69" s="9" t="s">
        <v>43</v>
      </c>
    </row>
    <row r="70" spans="2:23" x14ac:dyDescent="0.3">
      <c r="B70" s="10" t="s">
        <v>80</v>
      </c>
      <c r="C70" s="6" t="s">
        <v>56</v>
      </c>
      <c r="D70" s="17">
        <f t="shared" si="2"/>
        <v>44.55</v>
      </c>
      <c r="E70" s="7"/>
      <c r="F70" s="17">
        <f t="shared" si="3"/>
        <v>45.45</v>
      </c>
      <c r="G70" s="6" t="s">
        <v>54</v>
      </c>
      <c r="H70" s="6" t="str">
        <f t="shared" si="4"/>
        <v>Not Done</v>
      </c>
      <c r="K70">
        <f t="shared" si="8"/>
        <v>45</v>
      </c>
      <c r="L70">
        <f t="shared" si="9"/>
        <v>0.45</v>
      </c>
      <c r="M70" s="9">
        <v>1</v>
      </c>
      <c r="N70" s="9">
        <f t="shared" si="10"/>
        <v>1000</v>
      </c>
      <c r="O70" s="9"/>
      <c r="P70" s="9" t="s">
        <v>72</v>
      </c>
      <c r="Q70" s="9">
        <v>2</v>
      </c>
      <c r="R70" s="9" t="s">
        <v>42</v>
      </c>
      <c r="S70" s="9">
        <v>5.0000000000000001E-3</v>
      </c>
      <c r="T70" s="9">
        <v>2.2499999999999999E-2</v>
      </c>
      <c r="U70" s="9">
        <v>0</v>
      </c>
      <c r="V70" s="9" t="s">
        <v>73</v>
      </c>
      <c r="W70" s="9" t="s">
        <v>43</v>
      </c>
    </row>
    <row r="71" spans="2:23" x14ac:dyDescent="0.3">
      <c r="B71" s="10" t="s">
        <v>80</v>
      </c>
      <c r="C71" s="6" t="s">
        <v>57</v>
      </c>
      <c r="D71" s="17">
        <f t="shared" si="2"/>
        <v>89.1</v>
      </c>
      <c r="E71" s="7"/>
      <c r="F71" s="17">
        <f t="shared" si="3"/>
        <v>90.9</v>
      </c>
      <c r="G71" s="6" t="s">
        <v>54</v>
      </c>
      <c r="H71" s="6" t="str">
        <f t="shared" si="4"/>
        <v>Not Done</v>
      </c>
      <c r="K71">
        <f t="shared" si="8"/>
        <v>90</v>
      </c>
      <c r="L71">
        <f t="shared" si="9"/>
        <v>0.9</v>
      </c>
      <c r="M71" s="9">
        <v>1</v>
      </c>
      <c r="N71" s="9">
        <f t="shared" si="10"/>
        <v>1000</v>
      </c>
      <c r="O71" s="9"/>
      <c r="P71" s="9" t="s">
        <v>72</v>
      </c>
      <c r="Q71" s="9">
        <v>2</v>
      </c>
      <c r="R71" s="9" t="s">
        <v>42</v>
      </c>
      <c r="S71" s="9">
        <v>0.01</v>
      </c>
      <c r="T71" s="9">
        <v>4.4999999999999998E-2</v>
      </c>
      <c r="U71" s="9">
        <v>0</v>
      </c>
      <c r="V71" s="9" t="s">
        <v>73</v>
      </c>
      <c r="W71" s="9" t="s">
        <v>43</v>
      </c>
    </row>
    <row r="72" spans="2:23" x14ac:dyDescent="0.3">
      <c r="B72" s="10" t="s">
        <v>80</v>
      </c>
      <c r="C72" s="6" t="s">
        <v>58</v>
      </c>
      <c r="D72" s="17">
        <f t="shared" si="2"/>
        <v>178.2</v>
      </c>
      <c r="E72" s="17"/>
      <c r="F72" s="17">
        <f t="shared" si="3"/>
        <v>181.8</v>
      </c>
      <c r="G72" s="6" t="s">
        <v>54</v>
      </c>
      <c r="H72" s="6" t="str">
        <f t="shared" si="4"/>
        <v>Not Done</v>
      </c>
      <c r="K72">
        <f t="shared" si="8"/>
        <v>180</v>
      </c>
      <c r="L72">
        <f t="shared" si="9"/>
        <v>1.8</v>
      </c>
      <c r="M72" s="9">
        <v>1</v>
      </c>
      <c r="N72" s="9">
        <f t="shared" si="10"/>
        <v>1000</v>
      </c>
      <c r="O72" s="9"/>
      <c r="P72" s="9" t="s">
        <v>72</v>
      </c>
      <c r="Q72" s="9">
        <v>2</v>
      </c>
      <c r="R72" s="9" t="s">
        <v>42</v>
      </c>
      <c r="S72" s="9">
        <v>0.02</v>
      </c>
      <c r="T72" s="9">
        <v>0.09</v>
      </c>
      <c r="U72" s="9">
        <v>0</v>
      </c>
      <c r="V72" s="9" t="s">
        <v>73</v>
      </c>
      <c r="W72" s="9" t="s">
        <v>43</v>
      </c>
    </row>
    <row r="73" spans="2:23" x14ac:dyDescent="0.3">
      <c r="B73" s="10" t="s">
        <v>80</v>
      </c>
      <c r="C73" s="6" t="s">
        <v>64</v>
      </c>
      <c r="D73" s="14">
        <f t="shared" si="2"/>
        <v>445.5</v>
      </c>
      <c r="E73" s="17"/>
      <c r="F73" s="14">
        <f t="shared" si="3"/>
        <v>454.5</v>
      </c>
      <c r="G73" s="6" t="s">
        <v>54</v>
      </c>
      <c r="H73" s="6" t="str">
        <f t="shared" si="4"/>
        <v>Not Done</v>
      </c>
      <c r="K73">
        <f t="shared" si="8"/>
        <v>450</v>
      </c>
      <c r="L73">
        <f t="shared" si="9"/>
        <v>4.5000000000000009</v>
      </c>
      <c r="M73" s="9">
        <v>1</v>
      </c>
      <c r="N73" s="9">
        <f t="shared" si="10"/>
        <v>1000</v>
      </c>
      <c r="O73" s="9"/>
      <c r="P73" s="9" t="s">
        <v>72</v>
      </c>
      <c r="Q73" s="9">
        <v>2</v>
      </c>
      <c r="R73" s="9" t="s">
        <v>42</v>
      </c>
      <c r="S73" s="9">
        <v>0.05</v>
      </c>
      <c r="T73" s="9">
        <v>0.22500000000000001</v>
      </c>
      <c r="U73" s="9">
        <v>0</v>
      </c>
      <c r="V73" s="9" t="s">
        <v>73</v>
      </c>
      <c r="W73" s="9" t="s">
        <v>43</v>
      </c>
    </row>
    <row r="74" spans="2:23" x14ac:dyDescent="0.3">
      <c r="B74" s="10" t="s">
        <v>80</v>
      </c>
      <c r="C74" s="6" t="s">
        <v>59</v>
      </c>
      <c r="D74" s="14">
        <f t="shared" si="2"/>
        <v>891</v>
      </c>
      <c r="E74" s="17"/>
      <c r="F74" s="14">
        <f t="shared" si="3"/>
        <v>909</v>
      </c>
      <c r="G74" s="6" t="s">
        <v>54</v>
      </c>
      <c r="H74" s="6" t="str">
        <f t="shared" si="4"/>
        <v>Not Done</v>
      </c>
      <c r="K74">
        <f t="shared" si="8"/>
        <v>900</v>
      </c>
      <c r="L74">
        <f t="shared" si="9"/>
        <v>9.0000000000000018</v>
      </c>
      <c r="M74" s="9">
        <v>1</v>
      </c>
      <c r="N74" s="9">
        <f t="shared" si="10"/>
        <v>1000</v>
      </c>
      <c r="O74" s="9"/>
      <c r="P74" s="9" t="s">
        <v>72</v>
      </c>
      <c r="Q74" s="9">
        <v>2</v>
      </c>
      <c r="R74" s="9" t="s">
        <v>42</v>
      </c>
      <c r="S74" s="9">
        <v>0.1</v>
      </c>
      <c r="T74" s="9">
        <v>0.45</v>
      </c>
      <c r="U74" s="9">
        <v>0</v>
      </c>
      <c r="V74" s="9" t="s">
        <v>73</v>
      </c>
      <c r="W74" s="9" t="s">
        <v>43</v>
      </c>
    </row>
    <row r="75" spans="2:23" x14ac:dyDescent="0.3">
      <c r="B75" s="10" t="s">
        <v>80</v>
      </c>
      <c r="C75" s="6" t="s">
        <v>65</v>
      </c>
      <c r="D75" s="8">
        <f t="shared" si="2"/>
        <v>1.782</v>
      </c>
      <c r="E75" s="8"/>
      <c r="F75" s="8">
        <f t="shared" si="3"/>
        <v>1.8180000000000001</v>
      </c>
      <c r="G75" s="6" t="s">
        <v>62</v>
      </c>
      <c r="H75" s="6" t="str">
        <f t="shared" si="4"/>
        <v>Not Done</v>
      </c>
      <c r="K75">
        <f t="shared" si="8"/>
        <v>1.8</v>
      </c>
      <c r="L75">
        <f t="shared" si="9"/>
        <v>1.8000000000000002E-2</v>
      </c>
      <c r="M75" s="9">
        <v>1</v>
      </c>
      <c r="N75" s="9">
        <f t="shared" si="10"/>
        <v>1</v>
      </c>
      <c r="O75" s="9"/>
      <c r="P75" s="9" t="s">
        <v>72</v>
      </c>
      <c r="Q75" s="9">
        <v>2</v>
      </c>
      <c r="R75" s="9" t="s">
        <v>42</v>
      </c>
      <c r="S75" s="9">
        <v>0.2</v>
      </c>
      <c r="T75" s="9">
        <v>0.9</v>
      </c>
      <c r="U75" s="9">
        <v>0</v>
      </c>
      <c r="V75" s="9" t="s">
        <v>73</v>
      </c>
      <c r="W75" s="9" t="s">
        <v>43</v>
      </c>
    </row>
    <row r="76" spans="2:23" x14ac:dyDescent="0.3">
      <c r="B76" s="10" t="s">
        <v>80</v>
      </c>
      <c r="C76" s="6" t="s">
        <v>60</v>
      </c>
      <c r="D76" s="7">
        <f t="shared" si="2"/>
        <v>4.4550000000000001</v>
      </c>
      <c r="E76" s="8"/>
      <c r="F76" s="7">
        <f t="shared" si="3"/>
        <v>4.5449999999999999</v>
      </c>
      <c r="G76" s="6" t="s">
        <v>62</v>
      </c>
      <c r="H76" s="6" t="str">
        <f t="shared" si="4"/>
        <v>Not Done</v>
      </c>
      <c r="K76">
        <f t="shared" si="8"/>
        <v>4.5</v>
      </c>
      <c r="L76">
        <f t="shared" si="9"/>
        <v>4.4999999999999998E-2</v>
      </c>
      <c r="M76" s="9">
        <v>1</v>
      </c>
      <c r="N76" s="9">
        <f t="shared" si="10"/>
        <v>1</v>
      </c>
      <c r="O76" s="9"/>
      <c r="P76" s="9" t="s">
        <v>72</v>
      </c>
      <c r="Q76" s="9">
        <v>2</v>
      </c>
      <c r="R76" s="9" t="s">
        <v>42</v>
      </c>
      <c r="S76" s="9">
        <v>0.5</v>
      </c>
      <c r="T76" s="9">
        <v>2.25</v>
      </c>
      <c r="U76" s="9">
        <v>0</v>
      </c>
      <c r="V76" s="9" t="s">
        <v>73</v>
      </c>
      <c r="W76" s="9" t="s">
        <v>43</v>
      </c>
    </row>
    <row r="77" spans="2:23" x14ac:dyDescent="0.3">
      <c r="B77" s="10" t="s">
        <v>80</v>
      </c>
      <c r="C77" s="6" t="s">
        <v>61</v>
      </c>
      <c r="D77" s="7">
        <f t="shared" si="2"/>
        <v>8.91</v>
      </c>
      <c r="E77" s="8"/>
      <c r="F77" s="7">
        <f t="shared" si="3"/>
        <v>9.09</v>
      </c>
      <c r="G77" s="6" t="s">
        <v>62</v>
      </c>
      <c r="H77" s="6" t="str">
        <f t="shared" si="4"/>
        <v>Not Done</v>
      </c>
      <c r="K77">
        <f t="shared" si="8"/>
        <v>9</v>
      </c>
      <c r="L77">
        <f t="shared" si="9"/>
        <v>0.09</v>
      </c>
      <c r="M77" s="9">
        <v>1</v>
      </c>
      <c r="N77" s="9">
        <f t="shared" si="10"/>
        <v>1</v>
      </c>
      <c r="O77" s="9"/>
      <c r="P77" s="9" t="s">
        <v>72</v>
      </c>
      <c r="Q77" s="9">
        <v>2</v>
      </c>
      <c r="R77" s="9" t="s">
        <v>42</v>
      </c>
      <c r="S77" s="9">
        <v>1</v>
      </c>
      <c r="T77" s="9">
        <v>4.5</v>
      </c>
      <c r="U77" s="9">
        <v>0</v>
      </c>
      <c r="V77" s="9" t="s">
        <v>73</v>
      </c>
      <c r="W77" s="9" t="s">
        <v>43</v>
      </c>
    </row>
    <row r="78" spans="2:23" x14ac:dyDescent="0.3">
      <c r="B78" s="10" t="s">
        <v>81</v>
      </c>
      <c r="C78" s="6" t="s">
        <v>58</v>
      </c>
      <c r="D78" s="17">
        <f t="shared" si="2"/>
        <v>178.2</v>
      </c>
      <c r="E78" s="17"/>
      <c r="F78" s="17">
        <f t="shared" si="3"/>
        <v>181.8</v>
      </c>
      <c r="G78" s="6" t="s">
        <v>54</v>
      </c>
      <c r="H78" s="6" t="str">
        <f t="shared" si="4"/>
        <v>Not Done</v>
      </c>
      <c r="K78">
        <f t="shared" si="8"/>
        <v>180</v>
      </c>
      <c r="L78">
        <f t="shared" si="9"/>
        <v>1.8</v>
      </c>
      <c r="M78" s="9">
        <v>1</v>
      </c>
      <c r="N78" s="9">
        <f t="shared" si="10"/>
        <v>1000</v>
      </c>
      <c r="O78" s="9"/>
      <c r="P78" s="9" t="s">
        <v>72</v>
      </c>
      <c r="Q78" s="9">
        <v>2</v>
      </c>
      <c r="R78" s="9" t="s">
        <v>42</v>
      </c>
      <c r="S78" s="9">
        <v>0.02</v>
      </c>
      <c r="T78" s="9">
        <v>0.09</v>
      </c>
      <c r="U78" s="9">
        <v>0</v>
      </c>
      <c r="V78" s="9" t="s">
        <v>75</v>
      </c>
      <c r="W78" s="9" t="s">
        <v>43</v>
      </c>
    </row>
    <row r="79" spans="2:23" x14ac:dyDescent="0.3">
      <c r="B79" s="10" t="s">
        <v>82</v>
      </c>
      <c r="C79" s="6" t="s">
        <v>58</v>
      </c>
      <c r="D79" s="17">
        <f t="shared" ref="D79:D113" si="14">K79-L79</f>
        <v>178.2</v>
      </c>
      <c r="E79" s="17"/>
      <c r="F79" s="17">
        <f t="shared" ref="F79:F113" si="15">K79+L79</f>
        <v>181.8</v>
      </c>
      <c r="G79" s="6" t="s">
        <v>54</v>
      </c>
      <c r="H79" s="6" t="str">
        <f t="shared" ref="H79:H113" si="16">IF(ISBLANK(E79),"Not Done",IF(AND(E79&lt;=F79,E79&gt;=D79),"Pass","Fail"))</f>
        <v>Not Done</v>
      </c>
      <c r="K79">
        <f t="shared" si="8"/>
        <v>180</v>
      </c>
      <c r="L79">
        <f t="shared" si="9"/>
        <v>1.8</v>
      </c>
      <c r="M79" s="9">
        <v>1</v>
      </c>
      <c r="N79" s="9">
        <f t="shared" si="10"/>
        <v>1000</v>
      </c>
      <c r="O79" s="9"/>
      <c r="P79" s="9" t="s">
        <v>72</v>
      </c>
      <c r="Q79" s="9">
        <v>2</v>
      </c>
      <c r="R79" s="9" t="s">
        <v>42</v>
      </c>
      <c r="S79" s="9">
        <v>0.02</v>
      </c>
      <c r="T79" s="9">
        <v>0.09</v>
      </c>
      <c r="U79" s="9">
        <v>0</v>
      </c>
      <c r="V79" s="9" t="s">
        <v>63</v>
      </c>
      <c r="W79" s="9" t="s">
        <v>43</v>
      </c>
    </row>
    <row r="80" spans="2:23" x14ac:dyDescent="0.3">
      <c r="B80" s="10" t="s">
        <v>83</v>
      </c>
      <c r="C80" s="6" t="s">
        <v>53</v>
      </c>
      <c r="D80" s="7">
        <f t="shared" ref="D80" si="17">K80-L80</f>
        <v>8.7750000000000004</v>
      </c>
      <c r="E80" s="7"/>
      <c r="F80" s="7">
        <f t="shared" ref="F80" si="18">K80+L80</f>
        <v>9.2249999999999996</v>
      </c>
      <c r="G80" s="6" t="s">
        <v>54</v>
      </c>
      <c r="H80" s="6" t="str">
        <f t="shared" ref="H80" si="19">IF(ISBLANK(E80),"Not Done",IF(AND(E80&lt;=F80,E80&gt;=D80),"Pass","Fail"))</f>
        <v>Not Done</v>
      </c>
      <c r="K80">
        <f t="shared" si="8"/>
        <v>9</v>
      </c>
      <c r="L80">
        <f t="shared" si="9"/>
        <v>0.22500000000000001</v>
      </c>
      <c r="M80" s="9">
        <v>2.5</v>
      </c>
      <c r="N80" s="9">
        <f t="shared" si="10"/>
        <v>1000</v>
      </c>
      <c r="O80" s="9"/>
      <c r="P80" s="9" t="s">
        <v>72</v>
      </c>
      <c r="Q80" s="9">
        <v>2</v>
      </c>
      <c r="R80" s="9" t="s">
        <v>42</v>
      </c>
      <c r="S80" s="9">
        <v>1E-3</v>
      </c>
      <c r="T80" s="9">
        <v>4.4999999999999997E-3</v>
      </c>
      <c r="U80" s="9">
        <v>0</v>
      </c>
      <c r="V80" s="9" t="s">
        <v>73</v>
      </c>
      <c r="W80" s="9">
        <v>50</v>
      </c>
    </row>
    <row r="81" spans="2:23" x14ac:dyDescent="0.3">
      <c r="B81" s="10" t="s">
        <v>83</v>
      </c>
      <c r="C81" s="6" t="s">
        <v>55</v>
      </c>
      <c r="D81" s="7">
        <f t="shared" si="14"/>
        <v>17.82</v>
      </c>
      <c r="E81" s="7"/>
      <c r="F81" s="7">
        <f t="shared" si="15"/>
        <v>18.18</v>
      </c>
      <c r="G81" s="6" t="s">
        <v>54</v>
      </c>
      <c r="H81" s="6" t="str">
        <f t="shared" si="16"/>
        <v>Not Done</v>
      </c>
      <c r="K81">
        <f t="shared" si="8"/>
        <v>18</v>
      </c>
      <c r="L81">
        <f t="shared" si="9"/>
        <v>0.18</v>
      </c>
      <c r="M81" s="9">
        <v>1</v>
      </c>
      <c r="N81" s="9">
        <f t="shared" si="10"/>
        <v>1000</v>
      </c>
      <c r="O81" s="9"/>
      <c r="P81" s="9" t="s">
        <v>72</v>
      </c>
      <c r="Q81" s="9">
        <v>2</v>
      </c>
      <c r="R81" s="9" t="s">
        <v>42</v>
      </c>
      <c r="S81" s="9">
        <v>2E-3</v>
      </c>
      <c r="T81" s="9">
        <v>8.9999999999999993E-3</v>
      </c>
      <c r="U81" s="9">
        <v>0</v>
      </c>
      <c r="V81" s="9" t="s">
        <v>73</v>
      </c>
      <c r="W81" s="9">
        <v>50</v>
      </c>
    </row>
    <row r="82" spans="2:23" x14ac:dyDescent="0.3">
      <c r="B82" s="10" t="s">
        <v>83</v>
      </c>
      <c r="C82" s="6" t="s">
        <v>56</v>
      </c>
      <c r="D82" s="17">
        <f t="shared" si="14"/>
        <v>44.55</v>
      </c>
      <c r="E82" s="7"/>
      <c r="F82" s="17">
        <f t="shared" si="15"/>
        <v>45.45</v>
      </c>
      <c r="G82" s="6" t="s">
        <v>54</v>
      </c>
      <c r="H82" s="6" t="str">
        <f t="shared" si="16"/>
        <v>Not Done</v>
      </c>
      <c r="K82">
        <f t="shared" si="8"/>
        <v>45</v>
      </c>
      <c r="L82">
        <f t="shared" si="9"/>
        <v>0.45</v>
      </c>
      <c r="M82" s="9">
        <v>1</v>
      </c>
      <c r="N82" s="9">
        <f t="shared" si="10"/>
        <v>1000</v>
      </c>
      <c r="O82" s="9"/>
      <c r="P82" s="9" t="s">
        <v>72</v>
      </c>
      <c r="Q82" s="9">
        <v>2</v>
      </c>
      <c r="R82" s="9" t="s">
        <v>42</v>
      </c>
      <c r="S82" s="9">
        <v>5.0000000000000001E-3</v>
      </c>
      <c r="T82" s="9">
        <v>2.2499999999999999E-2</v>
      </c>
      <c r="U82" s="9">
        <v>0</v>
      </c>
      <c r="V82" s="9" t="s">
        <v>73</v>
      </c>
      <c r="W82" s="9">
        <v>50</v>
      </c>
    </row>
    <row r="83" spans="2:23" x14ac:dyDescent="0.3">
      <c r="B83" s="10" t="s">
        <v>83</v>
      </c>
      <c r="C83" s="6" t="s">
        <v>57</v>
      </c>
      <c r="D83" s="17">
        <f t="shared" si="14"/>
        <v>89.1</v>
      </c>
      <c r="E83" s="7"/>
      <c r="F83" s="17">
        <f t="shared" si="15"/>
        <v>90.9</v>
      </c>
      <c r="G83" s="6" t="s">
        <v>54</v>
      </c>
      <c r="H83" s="6" t="str">
        <f t="shared" si="16"/>
        <v>Not Done</v>
      </c>
      <c r="K83">
        <f t="shared" si="8"/>
        <v>90</v>
      </c>
      <c r="L83">
        <f t="shared" si="9"/>
        <v>0.9</v>
      </c>
      <c r="M83" s="9">
        <v>1</v>
      </c>
      <c r="N83" s="9">
        <f t="shared" si="10"/>
        <v>1000</v>
      </c>
      <c r="O83" s="9"/>
      <c r="P83" s="9" t="s">
        <v>72</v>
      </c>
      <c r="Q83" s="9">
        <v>2</v>
      </c>
      <c r="R83" s="9" t="s">
        <v>42</v>
      </c>
      <c r="S83" s="9">
        <v>0.01</v>
      </c>
      <c r="T83" s="9">
        <v>4.4999999999999998E-2</v>
      </c>
      <c r="U83" s="9">
        <v>0</v>
      </c>
      <c r="V83" s="9" t="s">
        <v>73</v>
      </c>
      <c r="W83" s="9">
        <v>50</v>
      </c>
    </row>
    <row r="84" spans="2:23" x14ac:dyDescent="0.3">
      <c r="B84" s="10" t="s">
        <v>83</v>
      </c>
      <c r="C84" s="6" t="s">
        <v>58</v>
      </c>
      <c r="D84" s="17">
        <f t="shared" si="14"/>
        <v>178.2</v>
      </c>
      <c r="E84" s="17"/>
      <c r="F84" s="17">
        <f t="shared" si="15"/>
        <v>181.8</v>
      </c>
      <c r="G84" s="6" t="s">
        <v>54</v>
      </c>
      <c r="H84" s="6" t="str">
        <f t="shared" si="16"/>
        <v>Not Done</v>
      </c>
      <c r="K84">
        <f t="shared" si="8"/>
        <v>180</v>
      </c>
      <c r="L84">
        <f t="shared" si="9"/>
        <v>1.8</v>
      </c>
      <c r="M84" s="9">
        <v>1</v>
      </c>
      <c r="N84" s="9">
        <f t="shared" si="10"/>
        <v>1000</v>
      </c>
      <c r="O84" s="9"/>
      <c r="P84" s="9" t="s">
        <v>72</v>
      </c>
      <c r="Q84" s="9">
        <v>2</v>
      </c>
      <c r="R84" s="9" t="s">
        <v>42</v>
      </c>
      <c r="S84" s="9">
        <v>0.02</v>
      </c>
      <c r="T84" s="9">
        <v>0.09</v>
      </c>
      <c r="U84" s="9">
        <v>0</v>
      </c>
      <c r="V84" s="9" t="s">
        <v>73</v>
      </c>
      <c r="W84" s="9">
        <v>50</v>
      </c>
    </row>
    <row r="85" spans="2:23" x14ac:dyDescent="0.3">
      <c r="B85" s="10" t="s">
        <v>83</v>
      </c>
      <c r="C85" s="6" t="s">
        <v>64</v>
      </c>
      <c r="D85" s="14">
        <f t="shared" si="14"/>
        <v>445.5</v>
      </c>
      <c r="E85" s="17"/>
      <c r="F85" s="14">
        <f t="shared" si="15"/>
        <v>454.5</v>
      </c>
      <c r="G85" s="6" t="s">
        <v>54</v>
      </c>
      <c r="H85" s="6" t="str">
        <f t="shared" si="16"/>
        <v>Not Done</v>
      </c>
      <c r="K85">
        <f t="shared" si="8"/>
        <v>450</v>
      </c>
      <c r="L85">
        <f t="shared" si="9"/>
        <v>4.5000000000000009</v>
      </c>
      <c r="M85" s="9">
        <v>1</v>
      </c>
      <c r="N85" s="9">
        <f t="shared" si="10"/>
        <v>1000</v>
      </c>
      <c r="O85" s="9"/>
      <c r="P85" s="9" t="s">
        <v>72</v>
      </c>
      <c r="Q85" s="9">
        <v>2</v>
      </c>
      <c r="R85" s="9" t="s">
        <v>42</v>
      </c>
      <c r="S85" s="9">
        <v>0.05</v>
      </c>
      <c r="T85" s="9">
        <v>0.22500000000000001</v>
      </c>
      <c r="U85" s="9">
        <v>0</v>
      </c>
      <c r="V85" s="9" t="s">
        <v>73</v>
      </c>
      <c r="W85" s="9">
        <v>50</v>
      </c>
    </row>
    <row r="86" spans="2:23" x14ac:dyDescent="0.3">
      <c r="B86" s="10" t="s">
        <v>83</v>
      </c>
      <c r="C86" s="6" t="s">
        <v>59</v>
      </c>
      <c r="D86" s="14">
        <f t="shared" si="14"/>
        <v>891</v>
      </c>
      <c r="E86" s="17"/>
      <c r="F86" s="14">
        <f t="shared" si="15"/>
        <v>909</v>
      </c>
      <c r="G86" s="6" t="s">
        <v>54</v>
      </c>
      <c r="H86" s="6" t="str">
        <f t="shared" si="16"/>
        <v>Not Done</v>
      </c>
      <c r="K86">
        <f t="shared" si="8"/>
        <v>900</v>
      </c>
      <c r="L86">
        <f t="shared" si="9"/>
        <v>9.0000000000000018</v>
      </c>
      <c r="M86" s="9">
        <v>1</v>
      </c>
      <c r="N86" s="9">
        <f t="shared" si="10"/>
        <v>1000</v>
      </c>
      <c r="O86" s="9"/>
      <c r="P86" s="9" t="s">
        <v>72</v>
      </c>
      <c r="Q86" s="9">
        <v>2</v>
      </c>
      <c r="R86" s="9" t="s">
        <v>42</v>
      </c>
      <c r="S86" s="9">
        <v>0.1</v>
      </c>
      <c r="T86" s="9">
        <v>0.45</v>
      </c>
      <c r="U86" s="9">
        <v>0</v>
      </c>
      <c r="V86" s="9" t="s">
        <v>73</v>
      </c>
      <c r="W86" s="9">
        <v>50</v>
      </c>
    </row>
    <row r="87" spans="2:23" x14ac:dyDescent="0.3">
      <c r="B87" s="10" t="s">
        <v>83</v>
      </c>
      <c r="C87" s="6" t="s">
        <v>65</v>
      </c>
      <c r="D87" s="8">
        <f t="shared" si="14"/>
        <v>1.782</v>
      </c>
      <c r="E87" s="8"/>
      <c r="F87" s="8">
        <f t="shared" si="15"/>
        <v>1.8180000000000001</v>
      </c>
      <c r="G87" s="6" t="s">
        <v>62</v>
      </c>
      <c r="H87" s="6" t="str">
        <f t="shared" si="16"/>
        <v>Not Done</v>
      </c>
      <c r="K87">
        <f t="shared" si="8"/>
        <v>1.8</v>
      </c>
      <c r="L87">
        <f t="shared" si="9"/>
        <v>1.8000000000000002E-2</v>
      </c>
      <c r="M87" s="9">
        <v>1</v>
      </c>
      <c r="N87" s="9">
        <f t="shared" si="10"/>
        <v>1</v>
      </c>
      <c r="O87" s="9"/>
      <c r="P87" s="9" t="s">
        <v>72</v>
      </c>
      <c r="Q87" s="9">
        <v>2</v>
      </c>
      <c r="R87" s="9" t="s">
        <v>42</v>
      </c>
      <c r="S87" s="9">
        <v>0.2</v>
      </c>
      <c r="T87" s="9">
        <v>0.9</v>
      </c>
      <c r="U87" s="9">
        <v>0</v>
      </c>
      <c r="V87" s="9" t="s">
        <v>73</v>
      </c>
      <c r="W87" s="9">
        <v>50</v>
      </c>
    </row>
    <row r="88" spans="2:23" x14ac:dyDescent="0.3">
      <c r="B88" s="10" t="s">
        <v>83</v>
      </c>
      <c r="C88" s="6" t="s">
        <v>60</v>
      </c>
      <c r="D88" s="7">
        <f t="shared" si="14"/>
        <v>4.4550000000000001</v>
      </c>
      <c r="E88" s="8"/>
      <c r="F88" s="7">
        <f t="shared" si="15"/>
        <v>4.5449999999999999</v>
      </c>
      <c r="G88" s="6" t="s">
        <v>62</v>
      </c>
      <c r="H88" s="6" t="str">
        <f t="shared" si="16"/>
        <v>Not Done</v>
      </c>
      <c r="K88">
        <f t="shared" si="8"/>
        <v>4.5</v>
      </c>
      <c r="L88">
        <f t="shared" si="9"/>
        <v>4.4999999999999998E-2</v>
      </c>
      <c r="M88" s="9">
        <v>1</v>
      </c>
      <c r="N88" s="9">
        <f t="shared" si="10"/>
        <v>1</v>
      </c>
      <c r="O88" s="9"/>
      <c r="P88" s="9" t="s">
        <v>72</v>
      </c>
      <c r="Q88" s="9">
        <v>2</v>
      </c>
      <c r="R88" s="9" t="s">
        <v>42</v>
      </c>
      <c r="S88" s="9">
        <v>0.5</v>
      </c>
      <c r="T88" s="9">
        <v>2.25</v>
      </c>
      <c r="U88" s="9">
        <v>0</v>
      </c>
      <c r="V88" s="9" t="s">
        <v>73</v>
      </c>
      <c r="W88" s="9">
        <v>50</v>
      </c>
    </row>
    <row r="89" spans="2:23" x14ac:dyDescent="0.3">
      <c r="B89" s="10" t="s">
        <v>83</v>
      </c>
      <c r="C89" s="6" t="s">
        <v>61</v>
      </c>
      <c r="D89" s="7">
        <f t="shared" si="14"/>
        <v>5.94</v>
      </c>
      <c r="E89" s="8"/>
      <c r="F89" s="7">
        <f t="shared" si="15"/>
        <v>6.06</v>
      </c>
      <c r="G89" s="6" t="s">
        <v>62</v>
      </c>
      <c r="H89" s="6" t="str">
        <f t="shared" si="16"/>
        <v>Not Done</v>
      </c>
      <c r="K89">
        <f t="shared" si="8"/>
        <v>6</v>
      </c>
      <c r="L89">
        <f t="shared" si="9"/>
        <v>0.06</v>
      </c>
      <c r="M89" s="9">
        <v>1</v>
      </c>
      <c r="N89" s="9">
        <f t="shared" si="10"/>
        <v>1</v>
      </c>
      <c r="O89" s="9"/>
      <c r="P89" s="9" t="s">
        <v>72</v>
      </c>
      <c r="Q89" s="9">
        <v>2</v>
      </c>
      <c r="R89" s="9" t="s">
        <v>42</v>
      </c>
      <c r="S89" s="9">
        <v>1</v>
      </c>
      <c r="T89" s="9">
        <v>3</v>
      </c>
      <c r="U89" s="9">
        <v>0</v>
      </c>
      <c r="V89" s="9" t="s">
        <v>73</v>
      </c>
      <c r="W89" s="9">
        <v>50</v>
      </c>
    </row>
    <row r="90" spans="2:23" x14ac:dyDescent="0.3">
      <c r="B90" s="10" t="s">
        <v>84</v>
      </c>
      <c r="C90" s="6" t="s">
        <v>58</v>
      </c>
      <c r="D90" s="17">
        <f t="shared" si="14"/>
        <v>178.2</v>
      </c>
      <c r="E90" s="7"/>
      <c r="F90" s="17">
        <f t="shared" si="15"/>
        <v>181.8</v>
      </c>
      <c r="G90" s="6" t="s">
        <v>54</v>
      </c>
      <c r="H90" s="6" t="str">
        <f t="shared" si="16"/>
        <v>Not Done</v>
      </c>
      <c r="K90">
        <f t="shared" si="8"/>
        <v>180</v>
      </c>
      <c r="L90">
        <f t="shared" si="9"/>
        <v>1.8</v>
      </c>
      <c r="M90" s="9">
        <v>1</v>
      </c>
      <c r="N90" s="9">
        <f t="shared" si="10"/>
        <v>1000</v>
      </c>
      <c r="O90" s="9"/>
      <c r="P90" s="9" t="s">
        <v>72</v>
      </c>
      <c r="Q90" s="9">
        <v>2</v>
      </c>
      <c r="R90" s="9" t="s">
        <v>42</v>
      </c>
      <c r="S90" s="9">
        <v>0.02</v>
      </c>
      <c r="T90" s="9">
        <v>0.09</v>
      </c>
      <c r="U90" s="9">
        <v>0</v>
      </c>
      <c r="V90" s="9" t="s">
        <v>75</v>
      </c>
      <c r="W90" s="9">
        <v>50</v>
      </c>
    </row>
    <row r="91" spans="2:23" x14ac:dyDescent="0.3">
      <c r="B91" s="10" t="s">
        <v>85</v>
      </c>
      <c r="C91" s="6" t="s">
        <v>58</v>
      </c>
      <c r="D91" s="7">
        <f t="shared" si="14"/>
        <v>178.2</v>
      </c>
      <c r="E91" s="7"/>
      <c r="F91" s="7">
        <f t="shared" si="15"/>
        <v>181.8</v>
      </c>
      <c r="G91" s="6" t="s">
        <v>54</v>
      </c>
      <c r="H91" s="6" t="str">
        <f t="shared" si="16"/>
        <v>Not Done</v>
      </c>
      <c r="K91">
        <f t="shared" si="8"/>
        <v>180</v>
      </c>
      <c r="L91">
        <f t="shared" si="9"/>
        <v>1.8</v>
      </c>
      <c r="M91" s="9">
        <v>1</v>
      </c>
      <c r="N91" s="9">
        <f t="shared" si="10"/>
        <v>1000</v>
      </c>
      <c r="O91" s="9"/>
      <c r="P91" s="9" t="s">
        <v>72</v>
      </c>
      <c r="Q91" s="9">
        <v>2</v>
      </c>
      <c r="R91" s="9" t="s">
        <v>42</v>
      </c>
      <c r="S91" s="9">
        <v>0.02</v>
      </c>
      <c r="T91" s="9">
        <v>0.09</v>
      </c>
      <c r="U91" s="9">
        <v>0</v>
      </c>
      <c r="V91" s="9" t="s">
        <v>63</v>
      </c>
      <c r="W91" s="9">
        <v>50</v>
      </c>
    </row>
    <row r="92" spans="2:23" x14ac:dyDescent="0.3">
      <c r="B92" s="10" t="s">
        <v>86</v>
      </c>
      <c r="C92" s="6" t="s">
        <v>53</v>
      </c>
      <c r="D92" s="17">
        <f t="shared" ref="D92" si="20">K92-L92</f>
        <v>8.82</v>
      </c>
      <c r="E92" s="7"/>
      <c r="F92" s="17">
        <f t="shared" ref="F92" si="21">K92+L92</f>
        <v>9.18</v>
      </c>
      <c r="G92" s="6" t="s">
        <v>54</v>
      </c>
      <c r="H92" s="6" t="str">
        <f t="shared" ref="H92" si="22">IF(ISBLANK(E92),"Not Done",IF(AND(E92&lt;=F92,E92&gt;=D92),"Pass","Fail"))</f>
        <v>Not Done</v>
      </c>
      <c r="K92">
        <f t="shared" si="8"/>
        <v>9</v>
      </c>
      <c r="L92">
        <f t="shared" si="9"/>
        <v>0.18</v>
      </c>
      <c r="M92" s="9">
        <v>2</v>
      </c>
      <c r="N92" s="9">
        <f t="shared" si="10"/>
        <v>1000</v>
      </c>
      <c r="O92" s="9"/>
      <c r="P92" s="9" t="s">
        <v>72</v>
      </c>
      <c r="Q92" s="9">
        <v>3</v>
      </c>
      <c r="R92" s="9" t="s">
        <v>42</v>
      </c>
      <c r="S92" s="9">
        <v>1E-3</v>
      </c>
      <c r="T92" s="9">
        <v>4.4999999999999997E-3</v>
      </c>
      <c r="U92" s="9">
        <v>0</v>
      </c>
      <c r="V92" s="9" t="s">
        <v>73</v>
      </c>
      <c r="W92" s="9" t="s">
        <v>43</v>
      </c>
    </row>
    <row r="93" spans="2:23" x14ac:dyDescent="0.3">
      <c r="B93" s="10" t="s">
        <v>86</v>
      </c>
      <c r="C93" s="6" t="s">
        <v>55</v>
      </c>
      <c r="D93" s="17">
        <f t="shared" si="14"/>
        <v>17.82</v>
      </c>
      <c r="E93" s="7"/>
      <c r="F93" s="17">
        <f t="shared" si="15"/>
        <v>18.18</v>
      </c>
      <c r="G93" s="6" t="s">
        <v>54</v>
      </c>
      <c r="H93" s="6" t="str">
        <f t="shared" si="16"/>
        <v>Not Done</v>
      </c>
      <c r="K93">
        <f t="shared" si="8"/>
        <v>18</v>
      </c>
      <c r="L93">
        <f t="shared" si="9"/>
        <v>0.18</v>
      </c>
      <c r="M93" s="9">
        <v>1</v>
      </c>
      <c r="N93" s="9">
        <f t="shared" si="10"/>
        <v>1000</v>
      </c>
      <c r="O93" s="9"/>
      <c r="P93" s="9" t="s">
        <v>72</v>
      </c>
      <c r="Q93" s="9">
        <v>3</v>
      </c>
      <c r="R93" s="9" t="s">
        <v>42</v>
      </c>
      <c r="S93" s="9">
        <v>2E-3</v>
      </c>
      <c r="T93" s="9">
        <v>8.9999999999999993E-3</v>
      </c>
      <c r="U93" s="9">
        <v>0</v>
      </c>
      <c r="V93" s="9" t="s">
        <v>73</v>
      </c>
      <c r="W93" s="9" t="s">
        <v>43</v>
      </c>
    </row>
    <row r="94" spans="2:23" x14ac:dyDescent="0.3">
      <c r="B94" s="10" t="s">
        <v>86</v>
      </c>
      <c r="C94" s="6" t="s">
        <v>56</v>
      </c>
      <c r="D94" s="17">
        <f t="shared" si="14"/>
        <v>44.55</v>
      </c>
      <c r="E94" s="7"/>
      <c r="F94" s="17">
        <f t="shared" si="15"/>
        <v>45.45</v>
      </c>
      <c r="G94" s="6" t="s">
        <v>54</v>
      </c>
      <c r="H94" s="6" t="str">
        <f t="shared" si="16"/>
        <v>Not Done</v>
      </c>
      <c r="K94">
        <f t="shared" si="8"/>
        <v>45</v>
      </c>
      <c r="L94">
        <f t="shared" si="9"/>
        <v>0.45</v>
      </c>
      <c r="M94" s="9">
        <v>1</v>
      </c>
      <c r="N94" s="9">
        <f t="shared" si="10"/>
        <v>1000</v>
      </c>
      <c r="O94" s="9"/>
      <c r="P94" s="9" t="s">
        <v>72</v>
      </c>
      <c r="Q94" s="9">
        <v>3</v>
      </c>
      <c r="R94" s="9" t="s">
        <v>42</v>
      </c>
      <c r="S94" s="9">
        <v>5.0000000000000001E-3</v>
      </c>
      <c r="T94" s="9">
        <v>2.2499999999999999E-2</v>
      </c>
      <c r="U94" s="9">
        <v>0</v>
      </c>
      <c r="V94" s="9" t="s">
        <v>73</v>
      </c>
      <c r="W94" s="9" t="s">
        <v>43</v>
      </c>
    </row>
    <row r="95" spans="2:23" x14ac:dyDescent="0.3">
      <c r="B95" s="10" t="s">
        <v>86</v>
      </c>
      <c r="C95" s="6" t="s">
        <v>57</v>
      </c>
      <c r="D95" s="17">
        <f t="shared" si="14"/>
        <v>89.1</v>
      </c>
      <c r="E95" s="7"/>
      <c r="F95" s="17">
        <f t="shared" si="15"/>
        <v>90.9</v>
      </c>
      <c r="G95" s="6" t="s">
        <v>54</v>
      </c>
      <c r="H95" s="6" t="str">
        <f t="shared" si="16"/>
        <v>Not Done</v>
      </c>
      <c r="K95">
        <f t="shared" si="8"/>
        <v>90</v>
      </c>
      <c r="L95">
        <f t="shared" si="9"/>
        <v>0.9</v>
      </c>
      <c r="M95" s="9">
        <v>1</v>
      </c>
      <c r="N95" s="9">
        <f t="shared" si="10"/>
        <v>1000</v>
      </c>
      <c r="O95" s="9"/>
      <c r="P95" s="9" t="s">
        <v>72</v>
      </c>
      <c r="Q95" s="9">
        <v>3</v>
      </c>
      <c r="R95" s="9" t="s">
        <v>42</v>
      </c>
      <c r="S95" s="9">
        <v>0.01</v>
      </c>
      <c r="T95" s="9">
        <v>4.4999999999999998E-2</v>
      </c>
      <c r="U95" s="9">
        <v>0</v>
      </c>
      <c r="V95" s="9" t="s">
        <v>73</v>
      </c>
      <c r="W95" s="9" t="s">
        <v>43</v>
      </c>
    </row>
    <row r="96" spans="2:23" x14ac:dyDescent="0.3">
      <c r="B96" s="10" t="s">
        <v>86</v>
      </c>
      <c r="C96" s="6" t="s">
        <v>58</v>
      </c>
      <c r="D96" s="14">
        <f t="shared" si="14"/>
        <v>178.2</v>
      </c>
      <c r="E96" s="17"/>
      <c r="F96" s="14">
        <f t="shared" si="15"/>
        <v>181.8</v>
      </c>
      <c r="G96" s="6" t="s">
        <v>54</v>
      </c>
      <c r="H96" s="6" t="str">
        <f t="shared" si="16"/>
        <v>Not Done</v>
      </c>
      <c r="K96">
        <f t="shared" si="8"/>
        <v>180</v>
      </c>
      <c r="L96">
        <f t="shared" si="9"/>
        <v>1.8</v>
      </c>
      <c r="M96" s="9">
        <v>1</v>
      </c>
      <c r="N96" s="9">
        <f t="shared" si="10"/>
        <v>1000</v>
      </c>
      <c r="O96" s="9"/>
      <c r="P96" s="9" t="s">
        <v>72</v>
      </c>
      <c r="Q96" s="9">
        <v>3</v>
      </c>
      <c r="R96" s="9" t="s">
        <v>42</v>
      </c>
      <c r="S96" s="9">
        <v>0.02</v>
      </c>
      <c r="T96" s="9">
        <v>0.09</v>
      </c>
      <c r="U96" s="9">
        <v>0</v>
      </c>
      <c r="V96" s="9" t="s">
        <v>73</v>
      </c>
      <c r="W96" s="9" t="s">
        <v>43</v>
      </c>
    </row>
    <row r="97" spans="2:23" x14ac:dyDescent="0.3">
      <c r="B97" s="10" t="s">
        <v>86</v>
      </c>
      <c r="C97" s="6" t="s">
        <v>64</v>
      </c>
      <c r="D97" s="14">
        <f t="shared" si="14"/>
        <v>445.5</v>
      </c>
      <c r="E97" s="17"/>
      <c r="F97" s="14">
        <f t="shared" si="15"/>
        <v>454.5</v>
      </c>
      <c r="G97" s="6" t="s">
        <v>54</v>
      </c>
      <c r="H97" s="6" t="str">
        <f t="shared" si="16"/>
        <v>Not Done</v>
      </c>
      <c r="K97">
        <f t="shared" si="8"/>
        <v>450</v>
      </c>
      <c r="L97">
        <f t="shared" si="9"/>
        <v>4.5000000000000009</v>
      </c>
      <c r="M97" s="9">
        <v>1</v>
      </c>
      <c r="N97" s="9">
        <f t="shared" si="10"/>
        <v>1000</v>
      </c>
      <c r="O97" s="9"/>
      <c r="P97" s="9" t="s">
        <v>72</v>
      </c>
      <c r="Q97" s="9">
        <v>3</v>
      </c>
      <c r="R97" s="9" t="s">
        <v>42</v>
      </c>
      <c r="S97" s="9">
        <v>0.05</v>
      </c>
      <c r="T97" s="9">
        <v>0.22500000000000001</v>
      </c>
      <c r="U97" s="9">
        <v>0</v>
      </c>
      <c r="V97" s="9" t="s">
        <v>73</v>
      </c>
      <c r="W97" s="9" t="s">
        <v>43</v>
      </c>
    </row>
    <row r="98" spans="2:23" x14ac:dyDescent="0.3">
      <c r="B98" s="10" t="s">
        <v>86</v>
      </c>
      <c r="C98" s="6" t="s">
        <v>59</v>
      </c>
      <c r="D98" s="14">
        <f t="shared" si="14"/>
        <v>891</v>
      </c>
      <c r="E98" s="17"/>
      <c r="F98" s="14">
        <f t="shared" si="15"/>
        <v>909</v>
      </c>
      <c r="G98" s="6" t="s">
        <v>54</v>
      </c>
      <c r="H98" s="6" t="str">
        <f t="shared" si="16"/>
        <v>Not Done</v>
      </c>
      <c r="K98">
        <f t="shared" si="8"/>
        <v>900</v>
      </c>
      <c r="L98">
        <f t="shared" si="9"/>
        <v>9.0000000000000018</v>
      </c>
      <c r="M98" s="9">
        <v>1</v>
      </c>
      <c r="N98" s="9">
        <f t="shared" si="10"/>
        <v>1000</v>
      </c>
      <c r="O98" s="9"/>
      <c r="P98" s="9" t="s">
        <v>72</v>
      </c>
      <c r="Q98" s="9">
        <v>3</v>
      </c>
      <c r="R98" s="9" t="s">
        <v>42</v>
      </c>
      <c r="S98" s="9">
        <v>0.1</v>
      </c>
      <c r="T98" s="9">
        <v>0.45</v>
      </c>
      <c r="U98" s="9">
        <v>0</v>
      </c>
      <c r="V98" s="9" t="s">
        <v>73</v>
      </c>
      <c r="W98" s="9" t="s">
        <v>43</v>
      </c>
    </row>
    <row r="99" spans="2:23" x14ac:dyDescent="0.3">
      <c r="B99" s="10" t="s">
        <v>86</v>
      </c>
      <c r="C99" s="6" t="s">
        <v>65</v>
      </c>
      <c r="D99" s="7">
        <f t="shared" si="14"/>
        <v>1.782</v>
      </c>
      <c r="E99" s="8"/>
      <c r="F99" s="7">
        <f t="shared" si="15"/>
        <v>1.8180000000000001</v>
      </c>
      <c r="G99" s="6" t="s">
        <v>62</v>
      </c>
      <c r="H99" s="6" t="str">
        <f t="shared" si="16"/>
        <v>Not Done</v>
      </c>
      <c r="K99">
        <f t="shared" si="8"/>
        <v>1.8</v>
      </c>
      <c r="L99">
        <f t="shared" si="9"/>
        <v>1.8000000000000002E-2</v>
      </c>
      <c r="M99" s="9">
        <v>1</v>
      </c>
      <c r="N99" s="9">
        <f t="shared" si="10"/>
        <v>1</v>
      </c>
      <c r="O99" s="9"/>
      <c r="P99" s="9" t="s">
        <v>72</v>
      </c>
      <c r="Q99" s="9">
        <v>3</v>
      </c>
      <c r="R99" s="9" t="s">
        <v>42</v>
      </c>
      <c r="S99" s="9">
        <v>0.2</v>
      </c>
      <c r="T99" s="9">
        <v>0.9</v>
      </c>
      <c r="U99" s="9">
        <v>0</v>
      </c>
      <c r="V99" s="9" t="s">
        <v>73</v>
      </c>
      <c r="W99" s="9" t="s">
        <v>43</v>
      </c>
    </row>
    <row r="100" spans="2:23" x14ac:dyDescent="0.3">
      <c r="B100" s="10" t="s">
        <v>86</v>
      </c>
      <c r="C100" s="6" t="s">
        <v>60</v>
      </c>
      <c r="D100" s="7">
        <f t="shared" si="14"/>
        <v>4.4550000000000001</v>
      </c>
      <c r="E100" s="8"/>
      <c r="F100" s="7">
        <f t="shared" si="15"/>
        <v>4.5449999999999999</v>
      </c>
      <c r="G100" s="6" t="s">
        <v>62</v>
      </c>
      <c r="H100" s="6" t="str">
        <f t="shared" si="16"/>
        <v>Not Done</v>
      </c>
      <c r="K100">
        <f t="shared" si="8"/>
        <v>4.5</v>
      </c>
      <c r="L100">
        <f t="shared" si="9"/>
        <v>4.4999999999999998E-2</v>
      </c>
      <c r="M100" s="9">
        <v>1</v>
      </c>
      <c r="N100" s="9">
        <f t="shared" si="10"/>
        <v>1</v>
      </c>
      <c r="O100" s="9"/>
      <c r="P100" s="9" t="s">
        <v>72</v>
      </c>
      <c r="Q100" s="9">
        <v>3</v>
      </c>
      <c r="R100" s="9" t="s">
        <v>42</v>
      </c>
      <c r="S100" s="9">
        <v>0.5</v>
      </c>
      <c r="T100" s="9">
        <v>2.25</v>
      </c>
      <c r="U100" s="9">
        <v>0</v>
      </c>
      <c r="V100" s="9" t="s">
        <v>73</v>
      </c>
      <c r="W100" s="9" t="s">
        <v>43</v>
      </c>
    </row>
    <row r="101" spans="2:23" x14ac:dyDescent="0.3">
      <c r="B101" s="10" t="s">
        <v>86</v>
      </c>
      <c r="C101" s="6" t="s">
        <v>61</v>
      </c>
      <c r="D101" s="17">
        <f t="shared" si="14"/>
        <v>8.91</v>
      </c>
      <c r="E101" s="8"/>
      <c r="F101" s="17">
        <f t="shared" si="15"/>
        <v>9.09</v>
      </c>
      <c r="G101" s="6" t="s">
        <v>62</v>
      </c>
      <c r="H101" s="6" t="str">
        <f t="shared" si="16"/>
        <v>Not Done</v>
      </c>
      <c r="K101">
        <f t="shared" si="8"/>
        <v>9</v>
      </c>
      <c r="L101">
        <f t="shared" si="9"/>
        <v>0.09</v>
      </c>
      <c r="M101" s="9">
        <v>1</v>
      </c>
      <c r="N101" s="9">
        <f t="shared" si="10"/>
        <v>1</v>
      </c>
      <c r="O101" s="9"/>
      <c r="P101" s="9" t="s">
        <v>72</v>
      </c>
      <c r="Q101" s="9">
        <v>3</v>
      </c>
      <c r="R101" s="9" t="s">
        <v>42</v>
      </c>
      <c r="S101" s="9">
        <v>1</v>
      </c>
      <c r="T101" s="9">
        <v>4.5</v>
      </c>
      <c r="U101" s="9">
        <v>0</v>
      </c>
      <c r="V101" s="9" t="s">
        <v>73</v>
      </c>
      <c r="W101" s="9" t="s">
        <v>43</v>
      </c>
    </row>
    <row r="102" spans="2:23" x14ac:dyDescent="0.3">
      <c r="B102" s="10" t="s">
        <v>87</v>
      </c>
      <c r="C102" s="6" t="s">
        <v>58</v>
      </c>
      <c r="D102" s="17">
        <f t="shared" si="14"/>
        <v>178.2</v>
      </c>
      <c r="E102" s="17"/>
      <c r="F102" s="17">
        <f t="shared" si="15"/>
        <v>181.8</v>
      </c>
      <c r="G102" s="6" t="s">
        <v>54</v>
      </c>
      <c r="H102" s="6" t="str">
        <f t="shared" si="16"/>
        <v>Not Done</v>
      </c>
      <c r="K102">
        <f t="shared" si="8"/>
        <v>180</v>
      </c>
      <c r="L102">
        <f t="shared" si="9"/>
        <v>1.8</v>
      </c>
      <c r="M102" s="9">
        <v>1</v>
      </c>
      <c r="N102" s="9">
        <f t="shared" si="10"/>
        <v>1000</v>
      </c>
      <c r="O102" s="9"/>
      <c r="P102" s="9" t="s">
        <v>72</v>
      </c>
      <c r="Q102" s="9">
        <v>3</v>
      </c>
      <c r="R102" s="9" t="s">
        <v>42</v>
      </c>
      <c r="S102" s="9">
        <v>0.02</v>
      </c>
      <c r="T102" s="9">
        <v>0.09</v>
      </c>
      <c r="U102" s="9">
        <v>0</v>
      </c>
      <c r="V102" s="9" t="s">
        <v>75</v>
      </c>
      <c r="W102" s="9" t="s">
        <v>43</v>
      </c>
    </row>
    <row r="103" spans="2:23" x14ac:dyDescent="0.3">
      <c r="B103" s="10" t="s">
        <v>88</v>
      </c>
      <c r="C103" s="6" t="s">
        <v>58</v>
      </c>
      <c r="D103" s="7">
        <f t="shared" si="14"/>
        <v>178.2</v>
      </c>
      <c r="E103" s="17"/>
      <c r="F103" s="7">
        <f t="shared" si="15"/>
        <v>181.8</v>
      </c>
      <c r="G103" s="6" t="s">
        <v>54</v>
      </c>
      <c r="H103" s="6" t="str">
        <f t="shared" si="16"/>
        <v>Not Done</v>
      </c>
      <c r="K103">
        <f t="shared" si="8"/>
        <v>180</v>
      </c>
      <c r="L103">
        <f t="shared" si="9"/>
        <v>1.8</v>
      </c>
      <c r="M103" s="9">
        <v>1</v>
      </c>
      <c r="N103" s="9">
        <f t="shared" si="10"/>
        <v>1000</v>
      </c>
      <c r="O103" s="9"/>
      <c r="P103" s="9" t="s">
        <v>72</v>
      </c>
      <c r="Q103" s="9">
        <v>3</v>
      </c>
      <c r="R103" s="9" t="s">
        <v>42</v>
      </c>
      <c r="S103" s="9">
        <v>0.02</v>
      </c>
      <c r="T103" s="9">
        <v>0.09</v>
      </c>
      <c r="U103" s="9">
        <v>0</v>
      </c>
      <c r="V103" s="9" t="s">
        <v>63</v>
      </c>
      <c r="W103" s="9" t="s">
        <v>43</v>
      </c>
    </row>
    <row r="104" spans="2:23" x14ac:dyDescent="0.3">
      <c r="B104" s="10" t="s">
        <v>89</v>
      </c>
      <c r="C104" s="6" t="s">
        <v>53</v>
      </c>
      <c r="D104" s="17">
        <f t="shared" ref="D104" si="23">K104-L104</f>
        <v>8.7750000000000004</v>
      </c>
      <c r="E104" s="7"/>
      <c r="F104" s="17">
        <f t="shared" ref="F104" si="24">K104+L104</f>
        <v>9.2249999999999996</v>
      </c>
      <c r="G104" s="6" t="s">
        <v>54</v>
      </c>
      <c r="H104" s="6" t="str">
        <f t="shared" ref="H104" si="25">IF(ISBLANK(E104),"Not Done",IF(AND(E104&lt;=F104,E104&gt;=D104),"Pass","Fail"))</f>
        <v>Not Done</v>
      </c>
      <c r="K104">
        <f t="shared" si="8"/>
        <v>9</v>
      </c>
      <c r="L104">
        <f t="shared" si="9"/>
        <v>0.22500000000000001</v>
      </c>
      <c r="M104" s="9">
        <v>2.5</v>
      </c>
      <c r="N104" s="9">
        <f t="shared" si="10"/>
        <v>1000</v>
      </c>
      <c r="O104" s="9"/>
      <c r="P104" s="9" t="s">
        <v>72</v>
      </c>
      <c r="Q104" s="9">
        <v>3</v>
      </c>
      <c r="R104" s="9" t="s">
        <v>42</v>
      </c>
      <c r="S104" s="9">
        <v>1E-3</v>
      </c>
      <c r="T104" s="9">
        <v>4.4999999999999997E-3</v>
      </c>
      <c r="U104" s="9">
        <v>0</v>
      </c>
      <c r="V104" s="9" t="s">
        <v>73</v>
      </c>
      <c r="W104" s="9">
        <v>50</v>
      </c>
    </row>
    <row r="105" spans="2:23" x14ac:dyDescent="0.3">
      <c r="B105" s="10" t="s">
        <v>89</v>
      </c>
      <c r="C105" s="6" t="s">
        <v>55</v>
      </c>
      <c r="D105" s="17">
        <f t="shared" si="14"/>
        <v>17.82</v>
      </c>
      <c r="E105" s="7"/>
      <c r="F105" s="17">
        <f t="shared" si="15"/>
        <v>18.18</v>
      </c>
      <c r="G105" s="6" t="s">
        <v>54</v>
      </c>
      <c r="H105" s="6" t="str">
        <f t="shared" si="16"/>
        <v>Not Done</v>
      </c>
      <c r="K105">
        <f t="shared" si="8"/>
        <v>18</v>
      </c>
      <c r="L105">
        <f t="shared" si="9"/>
        <v>0.18</v>
      </c>
      <c r="M105" s="9">
        <v>1</v>
      </c>
      <c r="N105" s="9">
        <f t="shared" si="10"/>
        <v>1000</v>
      </c>
      <c r="O105" s="9"/>
      <c r="P105" s="9" t="s">
        <v>72</v>
      </c>
      <c r="Q105" s="9">
        <v>3</v>
      </c>
      <c r="R105" s="9" t="s">
        <v>42</v>
      </c>
      <c r="S105" s="9">
        <v>2E-3</v>
      </c>
      <c r="T105" s="9">
        <v>8.9999999999999993E-3</v>
      </c>
      <c r="U105" s="9">
        <v>0</v>
      </c>
      <c r="V105" s="9" t="s">
        <v>73</v>
      </c>
      <c r="W105" s="9">
        <v>50</v>
      </c>
    </row>
    <row r="106" spans="2:23" x14ac:dyDescent="0.3">
      <c r="B106" s="10" t="s">
        <v>89</v>
      </c>
      <c r="C106" s="6" t="s">
        <v>56</v>
      </c>
      <c r="D106" s="17">
        <f t="shared" si="14"/>
        <v>44.55</v>
      </c>
      <c r="E106" s="7"/>
      <c r="F106" s="17">
        <f t="shared" si="15"/>
        <v>45.45</v>
      </c>
      <c r="G106" s="6" t="s">
        <v>54</v>
      </c>
      <c r="H106" s="6" t="str">
        <f t="shared" si="16"/>
        <v>Not Done</v>
      </c>
      <c r="K106">
        <f t="shared" si="8"/>
        <v>45</v>
      </c>
      <c r="L106">
        <f t="shared" si="9"/>
        <v>0.45</v>
      </c>
      <c r="M106" s="9">
        <v>1</v>
      </c>
      <c r="N106" s="9">
        <f t="shared" si="10"/>
        <v>1000</v>
      </c>
      <c r="O106" s="9"/>
      <c r="P106" s="9" t="s">
        <v>72</v>
      </c>
      <c r="Q106" s="9">
        <v>3</v>
      </c>
      <c r="R106" s="9" t="s">
        <v>42</v>
      </c>
      <c r="S106" s="9">
        <v>5.0000000000000001E-3</v>
      </c>
      <c r="T106" s="9">
        <v>2.2499999999999999E-2</v>
      </c>
      <c r="U106" s="9">
        <v>0</v>
      </c>
      <c r="V106" s="9" t="s">
        <v>73</v>
      </c>
      <c r="W106" s="9">
        <v>50</v>
      </c>
    </row>
    <row r="107" spans="2:23" x14ac:dyDescent="0.3">
      <c r="B107" s="10" t="s">
        <v>89</v>
      </c>
      <c r="C107" s="6" t="s">
        <v>57</v>
      </c>
      <c r="D107" s="17">
        <f t="shared" si="14"/>
        <v>89.1</v>
      </c>
      <c r="E107" s="7"/>
      <c r="F107" s="17">
        <f t="shared" si="15"/>
        <v>90.9</v>
      </c>
      <c r="G107" s="6" t="s">
        <v>54</v>
      </c>
      <c r="H107" s="6" t="str">
        <f t="shared" si="16"/>
        <v>Not Done</v>
      </c>
      <c r="K107">
        <f t="shared" si="8"/>
        <v>90</v>
      </c>
      <c r="L107">
        <f t="shared" si="9"/>
        <v>0.9</v>
      </c>
      <c r="M107" s="9">
        <v>1</v>
      </c>
      <c r="N107" s="9">
        <f t="shared" si="10"/>
        <v>1000</v>
      </c>
      <c r="O107" s="9"/>
      <c r="P107" s="9" t="s">
        <v>72</v>
      </c>
      <c r="Q107" s="9">
        <v>3</v>
      </c>
      <c r="R107" s="9" t="s">
        <v>42</v>
      </c>
      <c r="S107" s="9">
        <v>0.01</v>
      </c>
      <c r="T107" s="9">
        <v>4.4999999999999998E-2</v>
      </c>
      <c r="U107" s="9">
        <v>0</v>
      </c>
      <c r="V107" s="9" t="s">
        <v>73</v>
      </c>
      <c r="W107" s="9">
        <v>50</v>
      </c>
    </row>
    <row r="108" spans="2:23" x14ac:dyDescent="0.3">
      <c r="B108" s="10" t="s">
        <v>89</v>
      </c>
      <c r="C108" s="6" t="s">
        <v>58</v>
      </c>
      <c r="D108" s="14">
        <f t="shared" si="14"/>
        <v>178.2</v>
      </c>
      <c r="E108" s="17"/>
      <c r="F108" s="14">
        <f t="shared" si="15"/>
        <v>181.8</v>
      </c>
      <c r="G108" s="6" t="s">
        <v>54</v>
      </c>
      <c r="H108" s="6" t="str">
        <f t="shared" si="16"/>
        <v>Not Done</v>
      </c>
      <c r="K108">
        <f t="shared" si="8"/>
        <v>180</v>
      </c>
      <c r="L108">
        <f t="shared" si="9"/>
        <v>1.8</v>
      </c>
      <c r="M108" s="9">
        <v>1</v>
      </c>
      <c r="N108" s="9">
        <f t="shared" si="10"/>
        <v>1000</v>
      </c>
      <c r="O108" s="9"/>
      <c r="P108" s="9" t="s">
        <v>72</v>
      </c>
      <c r="Q108" s="9">
        <v>3</v>
      </c>
      <c r="R108" s="9" t="s">
        <v>42</v>
      </c>
      <c r="S108" s="9">
        <v>0.02</v>
      </c>
      <c r="T108" s="9">
        <v>0.09</v>
      </c>
      <c r="U108" s="9">
        <v>0</v>
      </c>
      <c r="V108" s="9" t="s">
        <v>73</v>
      </c>
      <c r="W108" s="9">
        <v>50</v>
      </c>
    </row>
    <row r="109" spans="2:23" x14ac:dyDescent="0.3">
      <c r="B109" s="10" t="s">
        <v>89</v>
      </c>
      <c r="C109" s="6" t="s">
        <v>64</v>
      </c>
      <c r="D109" s="14">
        <f t="shared" si="14"/>
        <v>445.5</v>
      </c>
      <c r="E109" s="17"/>
      <c r="F109" s="14">
        <f t="shared" si="15"/>
        <v>454.5</v>
      </c>
      <c r="G109" s="6" t="s">
        <v>54</v>
      </c>
      <c r="H109" s="6" t="str">
        <f t="shared" si="16"/>
        <v>Not Done</v>
      </c>
      <c r="K109">
        <f t="shared" ref="K109:K172" si="26">2*T109*N109</f>
        <v>450</v>
      </c>
      <c r="L109">
        <f t="shared" ref="L109:L172" si="27">M109%*T109*2*N109</f>
        <v>4.5000000000000009</v>
      </c>
      <c r="M109" s="9">
        <v>1</v>
      </c>
      <c r="N109" s="9">
        <f t="shared" ref="N109:N172" si="28">IF(G109="mV",1000,1)</f>
        <v>1000</v>
      </c>
      <c r="O109" s="9"/>
      <c r="P109" s="9" t="s">
        <v>72</v>
      </c>
      <c r="Q109" s="9">
        <v>3</v>
      </c>
      <c r="R109" s="9" t="s">
        <v>42</v>
      </c>
      <c r="S109" s="9">
        <v>0.05</v>
      </c>
      <c r="T109" s="9">
        <v>0.22500000000000001</v>
      </c>
      <c r="U109" s="9">
        <v>0</v>
      </c>
      <c r="V109" s="9" t="s">
        <v>73</v>
      </c>
      <c r="W109" s="9">
        <v>50</v>
      </c>
    </row>
    <row r="110" spans="2:23" x14ac:dyDescent="0.3">
      <c r="B110" s="10" t="s">
        <v>89</v>
      </c>
      <c r="C110" s="6" t="s">
        <v>59</v>
      </c>
      <c r="D110" s="14">
        <f t="shared" si="14"/>
        <v>891</v>
      </c>
      <c r="E110" s="17"/>
      <c r="F110" s="14">
        <f t="shared" si="15"/>
        <v>909</v>
      </c>
      <c r="G110" s="6" t="s">
        <v>54</v>
      </c>
      <c r="H110" s="6" t="str">
        <f t="shared" si="16"/>
        <v>Not Done</v>
      </c>
      <c r="K110">
        <f t="shared" si="26"/>
        <v>900</v>
      </c>
      <c r="L110">
        <f t="shared" si="27"/>
        <v>9.0000000000000018</v>
      </c>
      <c r="M110" s="9">
        <v>1</v>
      </c>
      <c r="N110" s="9">
        <f t="shared" si="28"/>
        <v>1000</v>
      </c>
      <c r="O110" s="9"/>
      <c r="P110" s="9" t="s">
        <v>72</v>
      </c>
      <c r="Q110" s="9">
        <v>3</v>
      </c>
      <c r="R110" s="9" t="s">
        <v>42</v>
      </c>
      <c r="S110" s="9">
        <v>0.1</v>
      </c>
      <c r="T110" s="9">
        <v>0.45</v>
      </c>
      <c r="U110" s="9">
        <v>0</v>
      </c>
      <c r="V110" s="9" t="s">
        <v>73</v>
      </c>
      <c r="W110" s="9">
        <v>50</v>
      </c>
    </row>
    <row r="111" spans="2:23" x14ac:dyDescent="0.3">
      <c r="B111" s="10" t="s">
        <v>89</v>
      </c>
      <c r="C111" s="6" t="s">
        <v>65</v>
      </c>
      <c r="D111" s="7">
        <f t="shared" si="14"/>
        <v>1.782</v>
      </c>
      <c r="E111" s="8"/>
      <c r="F111" s="7">
        <f t="shared" si="15"/>
        <v>1.8180000000000001</v>
      </c>
      <c r="G111" s="6" t="s">
        <v>62</v>
      </c>
      <c r="H111" s="6" t="str">
        <f t="shared" si="16"/>
        <v>Not Done</v>
      </c>
      <c r="K111">
        <f t="shared" si="26"/>
        <v>1.8</v>
      </c>
      <c r="L111">
        <f t="shared" si="27"/>
        <v>1.8000000000000002E-2</v>
      </c>
      <c r="M111" s="9">
        <v>1</v>
      </c>
      <c r="N111" s="9">
        <f t="shared" si="28"/>
        <v>1</v>
      </c>
      <c r="O111" s="9"/>
      <c r="P111" s="9" t="s">
        <v>72</v>
      </c>
      <c r="Q111" s="9">
        <v>3</v>
      </c>
      <c r="R111" s="9" t="s">
        <v>42</v>
      </c>
      <c r="S111" s="9">
        <v>0.2</v>
      </c>
      <c r="T111" s="9">
        <v>0.9</v>
      </c>
      <c r="U111" s="9">
        <v>0</v>
      </c>
      <c r="V111" s="9" t="s">
        <v>73</v>
      </c>
      <c r="W111" s="9">
        <v>50</v>
      </c>
    </row>
    <row r="112" spans="2:23" x14ac:dyDescent="0.3">
      <c r="B112" s="10" t="s">
        <v>89</v>
      </c>
      <c r="C112" s="6" t="s">
        <v>60</v>
      </c>
      <c r="D112" s="7">
        <f t="shared" si="14"/>
        <v>4.4550000000000001</v>
      </c>
      <c r="E112" s="8"/>
      <c r="F112" s="7">
        <f t="shared" si="15"/>
        <v>4.5449999999999999</v>
      </c>
      <c r="G112" s="6" t="s">
        <v>62</v>
      </c>
      <c r="H112" s="6" t="str">
        <f t="shared" si="16"/>
        <v>Not Done</v>
      </c>
      <c r="K112">
        <f t="shared" si="26"/>
        <v>4.5</v>
      </c>
      <c r="L112">
        <f t="shared" si="27"/>
        <v>4.4999999999999998E-2</v>
      </c>
      <c r="M112" s="9">
        <v>1</v>
      </c>
      <c r="N112" s="9">
        <f t="shared" si="28"/>
        <v>1</v>
      </c>
      <c r="O112" s="9"/>
      <c r="P112" s="9" t="s">
        <v>72</v>
      </c>
      <c r="Q112" s="9">
        <v>3</v>
      </c>
      <c r="R112" s="9" t="s">
        <v>42</v>
      </c>
      <c r="S112" s="9">
        <v>0.5</v>
      </c>
      <c r="T112" s="9">
        <v>2.25</v>
      </c>
      <c r="U112" s="9">
        <v>0</v>
      </c>
      <c r="V112" s="9" t="s">
        <v>73</v>
      </c>
      <c r="W112" s="9">
        <v>50</v>
      </c>
    </row>
    <row r="113" spans="2:23" x14ac:dyDescent="0.3">
      <c r="B113" s="10" t="s">
        <v>89</v>
      </c>
      <c r="C113" s="6" t="s">
        <v>61</v>
      </c>
      <c r="D113" s="17">
        <f t="shared" si="14"/>
        <v>5.94</v>
      </c>
      <c r="E113" s="8"/>
      <c r="F113" s="17">
        <f t="shared" si="15"/>
        <v>6.06</v>
      </c>
      <c r="G113" s="6" t="s">
        <v>62</v>
      </c>
      <c r="H113" s="6" t="str">
        <f t="shared" si="16"/>
        <v>Not Done</v>
      </c>
      <c r="K113">
        <f t="shared" si="26"/>
        <v>6</v>
      </c>
      <c r="L113">
        <f t="shared" si="27"/>
        <v>0.06</v>
      </c>
      <c r="M113" s="9">
        <v>1</v>
      </c>
      <c r="N113" s="9">
        <f t="shared" si="28"/>
        <v>1</v>
      </c>
      <c r="O113" s="9"/>
      <c r="P113" s="9" t="s">
        <v>72</v>
      </c>
      <c r="Q113" s="9">
        <v>3</v>
      </c>
      <c r="R113" s="9" t="s">
        <v>42</v>
      </c>
      <c r="S113" s="9">
        <v>1</v>
      </c>
      <c r="T113" s="9">
        <v>3</v>
      </c>
      <c r="U113" s="9">
        <v>0</v>
      </c>
      <c r="V113" s="9" t="s">
        <v>73</v>
      </c>
      <c r="W113" s="9">
        <v>50</v>
      </c>
    </row>
    <row r="114" spans="2:23" x14ac:dyDescent="0.3">
      <c r="B114" s="10" t="s">
        <v>90</v>
      </c>
      <c r="C114" s="6" t="s">
        <v>58</v>
      </c>
      <c r="D114" s="17">
        <f t="shared" ref="D114:D161" si="29">K114-L114</f>
        <v>178.2</v>
      </c>
      <c r="E114" s="7"/>
      <c r="F114" s="17">
        <f t="shared" ref="F114:F161" si="30">K114+L114</f>
        <v>181.8</v>
      </c>
      <c r="G114" s="6" t="s">
        <v>54</v>
      </c>
      <c r="H114" s="6" t="str">
        <f t="shared" ref="H114:H161" si="31">IF(ISBLANK(E114),"Not Done",IF(AND(E114&lt;=F114,E114&gt;=D114),"Pass","Fail"))</f>
        <v>Not Done</v>
      </c>
      <c r="K114">
        <f t="shared" si="26"/>
        <v>180</v>
      </c>
      <c r="L114">
        <f t="shared" si="27"/>
        <v>1.8</v>
      </c>
      <c r="M114" s="9">
        <v>1</v>
      </c>
      <c r="N114" s="9">
        <f t="shared" si="28"/>
        <v>1000</v>
      </c>
      <c r="O114" s="9"/>
      <c r="P114" s="9" t="s">
        <v>72</v>
      </c>
      <c r="Q114" s="9">
        <v>3</v>
      </c>
      <c r="R114" s="9" t="s">
        <v>42</v>
      </c>
      <c r="S114" s="9">
        <v>0.02</v>
      </c>
      <c r="T114" s="9">
        <v>0.09</v>
      </c>
      <c r="U114" s="9">
        <v>0</v>
      </c>
      <c r="V114" s="9" t="s">
        <v>75</v>
      </c>
      <c r="W114" s="9">
        <v>50</v>
      </c>
    </row>
    <row r="115" spans="2:23" x14ac:dyDescent="0.3">
      <c r="B115" s="10" t="s">
        <v>91</v>
      </c>
      <c r="C115" s="6" t="s">
        <v>58</v>
      </c>
      <c r="D115" s="7">
        <f t="shared" si="29"/>
        <v>178.2</v>
      </c>
      <c r="E115" s="7"/>
      <c r="F115" s="7">
        <f t="shared" si="30"/>
        <v>181.8</v>
      </c>
      <c r="G115" s="6" t="s">
        <v>54</v>
      </c>
      <c r="H115" s="6" t="str">
        <f t="shared" si="31"/>
        <v>Not Done</v>
      </c>
      <c r="K115">
        <f t="shared" si="26"/>
        <v>180</v>
      </c>
      <c r="L115">
        <f t="shared" si="27"/>
        <v>1.8</v>
      </c>
      <c r="M115" s="9">
        <v>1</v>
      </c>
      <c r="N115" s="9">
        <f t="shared" si="28"/>
        <v>1000</v>
      </c>
      <c r="O115" s="9"/>
      <c r="P115" s="9" t="s">
        <v>72</v>
      </c>
      <c r="Q115" s="9">
        <v>3</v>
      </c>
      <c r="R115" s="9" t="s">
        <v>42</v>
      </c>
      <c r="S115" s="9">
        <v>0.02</v>
      </c>
      <c r="T115" s="9">
        <v>0.09</v>
      </c>
      <c r="U115" s="9">
        <v>0</v>
      </c>
      <c r="V115" s="9" t="s">
        <v>63</v>
      </c>
      <c r="W115" s="9">
        <v>50</v>
      </c>
    </row>
    <row r="116" spans="2:23" x14ac:dyDescent="0.3">
      <c r="B116" s="10" t="s">
        <v>92</v>
      </c>
      <c r="C116" s="6" t="s">
        <v>53</v>
      </c>
      <c r="D116" s="7">
        <f t="shared" ref="D116" si="32">K116-L116</f>
        <v>8.82</v>
      </c>
      <c r="E116" s="7"/>
      <c r="F116" s="7">
        <f t="shared" ref="F116" si="33">K116+L116</f>
        <v>9.18</v>
      </c>
      <c r="G116" s="6" t="s">
        <v>54</v>
      </c>
      <c r="H116" s="6" t="str">
        <f t="shared" ref="H116" si="34">IF(ISBLANK(E116),"Not Done",IF(AND(E116&lt;=F116,E116&gt;=D116),"Pass","Fail"))</f>
        <v>Not Done</v>
      </c>
      <c r="K116">
        <f t="shared" si="26"/>
        <v>9</v>
      </c>
      <c r="L116">
        <f t="shared" si="27"/>
        <v>0.18</v>
      </c>
      <c r="M116" s="9">
        <v>2</v>
      </c>
      <c r="N116" s="9">
        <f t="shared" si="28"/>
        <v>1000</v>
      </c>
      <c r="O116" s="9"/>
      <c r="P116" s="9" t="s">
        <v>72</v>
      </c>
      <c r="Q116" s="9">
        <v>4</v>
      </c>
      <c r="R116" s="9" t="s">
        <v>42</v>
      </c>
      <c r="S116" s="9">
        <v>1E-3</v>
      </c>
      <c r="T116" s="9">
        <v>4.4999999999999997E-3</v>
      </c>
      <c r="U116" s="9">
        <v>0</v>
      </c>
      <c r="V116" s="9" t="s">
        <v>73</v>
      </c>
      <c r="W116" s="9" t="s">
        <v>43</v>
      </c>
    </row>
    <row r="117" spans="2:23" x14ac:dyDescent="0.3">
      <c r="B117" s="10" t="s">
        <v>92</v>
      </c>
      <c r="C117" s="6" t="s">
        <v>55</v>
      </c>
      <c r="D117" s="7">
        <f t="shared" si="29"/>
        <v>17.82</v>
      </c>
      <c r="E117" s="7"/>
      <c r="F117" s="7">
        <f t="shared" si="30"/>
        <v>18.18</v>
      </c>
      <c r="G117" s="6" t="s">
        <v>54</v>
      </c>
      <c r="H117" s="6" t="str">
        <f t="shared" si="31"/>
        <v>Not Done</v>
      </c>
      <c r="K117">
        <f t="shared" si="26"/>
        <v>18</v>
      </c>
      <c r="L117">
        <f t="shared" si="27"/>
        <v>0.18</v>
      </c>
      <c r="M117" s="9">
        <v>1</v>
      </c>
      <c r="N117" s="9">
        <f t="shared" si="28"/>
        <v>1000</v>
      </c>
      <c r="O117" s="9"/>
      <c r="P117" s="9" t="s">
        <v>72</v>
      </c>
      <c r="Q117" s="9">
        <v>4</v>
      </c>
      <c r="R117" s="9" t="s">
        <v>42</v>
      </c>
      <c r="S117" s="9">
        <v>2E-3</v>
      </c>
      <c r="T117" s="9">
        <v>8.9999999999999993E-3</v>
      </c>
      <c r="U117" s="9">
        <v>0</v>
      </c>
      <c r="V117" s="9" t="s">
        <v>73</v>
      </c>
      <c r="W117" s="9" t="s">
        <v>43</v>
      </c>
    </row>
    <row r="118" spans="2:23" x14ac:dyDescent="0.3">
      <c r="B118" s="10" t="s">
        <v>92</v>
      </c>
      <c r="C118" s="6" t="s">
        <v>56</v>
      </c>
      <c r="D118" s="17">
        <f t="shared" si="29"/>
        <v>44.55</v>
      </c>
      <c r="E118" s="7"/>
      <c r="F118" s="17">
        <f t="shared" si="30"/>
        <v>45.45</v>
      </c>
      <c r="G118" s="6" t="s">
        <v>54</v>
      </c>
      <c r="H118" s="6" t="str">
        <f t="shared" si="31"/>
        <v>Not Done</v>
      </c>
      <c r="K118">
        <f t="shared" si="26"/>
        <v>45</v>
      </c>
      <c r="L118">
        <f t="shared" si="27"/>
        <v>0.45</v>
      </c>
      <c r="M118" s="9">
        <v>1</v>
      </c>
      <c r="N118" s="9">
        <f t="shared" si="28"/>
        <v>1000</v>
      </c>
      <c r="O118" s="9"/>
      <c r="P118" s="9" t="s">
        <v>72</v>
      </c>
      <c r="Q118" s="9">
        <v>4</v>
      </c>
      <c r="R118" s="9" t="s">
        <v>42</v>
      </c>
      <c r="S118" s="9">
        <v>5.0000000000000001E-3</v>
      </c>
      <c r="T118" s="9">
        <v>2.2499999999999999E-2</v>
      </c>
      <c r="U118" s="9">
        <v>0</v>
      </c>
      <c r="V118" s="9" t="s">
        <v>73</v>
      </c>
      <c r="W118" s="9" t="s">
        <v>43</v>
      </c>
    </row>
    <row r="119" spans="2:23" x14ac:dyDescent="0.3">
      <c r="B119" s="10" t="s">
        <v>92</v>
      </c>
      <c r="C119" s="6" t="s">
        <v>57</v>
      </c>
      <c r="D119" s="17">
        <f t="shared" si="29"/>
        <v>89.1</v>
      </c>
      <c r="E119" s="7"/>
      <c r="F119" s="17">
        <f t="shared" si="30"/>
        <v>90.9</v>
      </c>
      <c r="G119" s="6" t="s">
        <v>54</v>
      </c>
      <c r="H119" s="6" t="str">
        <f t="shared" si="31"/>
        <v>Not Done</v>
      </c>
      <c r="K119">
        <f t="shared" si="26"/>
        <v>90</v>
      </c>
      <c r="L119">
        <f t="shared" si="27"/>
        <v>0.9</v>
      </c>
      <c r="M119" s="9">
        <v>1</v>
      </c>
      <c r="N119" s="9">
        <f t="shared" si="28"/>
        <v>1000</v>
      </c>
      <c r="O119" s="9"/>
      <c r="P119" s="9" t="s">
        <v>72</v>
      </c>
      <c r="Q119" s="9">
        <v>4</v>
      </c>
      <c r="R119" s="9" t="s">
        <v>42</v>
      </c>
      <c r="S119" s="9">
        <v>0.01</v>
      </c>
      <c r="T119" s="9">
        <v>4.4999999999999998E-2</v>
      </c>
      <c r="U119" s="9">
        <v>0</v>
      </c>
      <c r="V119" s="9" t="s">
        <v>73</v>
      </c>
      <c r="W119" s="9" t="s">
        <v>43</v>
      </c>
    </row>
    <row r="120" spans="2:23" x14ac:dyDescent="0.3">
      <c r="B120" s="10" t="s">
        <v>92</v>
      </c>
      <c r="C120" s="6" t="s">
        <v>58</v>
      </c>
      <c r="D120" s="17">
        <f t="shared" si="29"/>
        <v>178.2</v>
      </c>
      <c r="E120" s="17"/>
      <c r="F120" s="17">
        <f t="shared" si="30"/>
        <v>181.8</v>
      </c>
      <c r="G120" s="6" t="s">
        <v>54</v>
      </c>
      <c r="H120" s="6" t="str">
        <f t="shared" si="31"/>
        <v>Not Done</v>
      </c>
      <c r="K120">
        <f t="shared" si="26"/>
        <v>180</v>
      </c>
      <c r="L120">
        <f t="shared" si="27"/>
        <v>1.8</v>
      </c>
      <c r="M120" s="9">
        <v>1</v>
      </c>
      <c r="N120" s="9">
        <f t="shared" si="28"/>
        <v>1000</v>
      </c>
      <c r="O120" s="9"/>
      <c r="P120" s="9" t="s">
        <v>72</v>
      </c>
      <c r="Q120" s="9">
        <v>4</v>
      </c>
      <c r="R120" s="9" t="s">
        <v>42</v>
      </c>
      <c r="S120" s="9">
        <v>0.02</v>
      </c>
      <c r="T120" s="9">
        <v>0.09</v>
      </c>
      <c r="U120" s="9">
        <v>0</v>
      </c>
      <c r="V120" s="9" t="s">
        <v>73</v>
      </c>
      <c r="W120" s="9" t="s">
        <v>43</v>
      </c>
    </row>
    <row r="121" spans="2:23" x14ac:dyDescent="0.3">
      <c r="B121" s="10" t="s">
        <v>92</v>
      </c>
      <c r="C121" s="6" t="s">
        <v>64</v>
      </c>
      <c r="D121" s="14">
        <f t="shared" si="29"/>
        <v>445.5</v>
      </c>
      <c r="E121" s="17"/>
      <c r="F121" s="14">
        <f t="shared" si="30"/>
        <v>454.5</v>
      </c>
      <c r="G121" s="6" t="s">
        <v>54</v>
      </c>
      <c r="H121" s="6" t="str">
        <f t="shared" si="31"/>
        <v>Not Done</v>
      </c>
      <c r="K121">
        <f t="shared" si="26"/>
        <v>450</v>
      </c>
      <c r="L121">
        <f t="shared" si="27"/>
        <v>4.5000000000000009</v>
      </c>
      <c r="M121" s="9">
        <v>1</v>
      </c>
      <c r="N121" s="9">
        <f t="shared" si="28"/>
        <v>1000</v>
      </c>
      <c r="O121" s="9"/>
      <c r="P121" s="9" t="s">
        <v>72</v>
      </c>
      <c r="Q121" s="9">
        <v>4</v>
      </c>
      <c r="R121" s="9" t="s">
        <v>42</v>
      </c>
      <c r="S121" s="9">
        <v>0.05</v>
      </c>
      <c r="T121" s="9">
        <v>0.22500000000000001</v>
      </c>
      <c r="U121" s="9">
        <v>0</v>
      </c>
      <c r="V121" s="9" t="s">
        <v>73</v>
      </c>
      <c r="W121" s="9" t="s">
        <v>43</v>
      </c>
    </row>
    <row r="122" spans="2:23" x14ac:dyDescent="0.3">
      <c r="B122" s="10" t="s">
        <v>92</v>
      </c>
      <c r="C122" s="6" t="s">
        <v>59</v>
      </c>
      <c r="D122" s="14">
        <f t="shared" si="29"/>
        <v>891</v>
      </c>
      <c r="E122" s="17"/>
      <c r="F122" s="14">
        <f t="shared" si="30"/>
        <v>909</v>
      </c>
      <c r="G122" s="6" t="s">
        <v>54</v>
      </c>
      <c r="H122" s="6" t="str">
        <f t="shared" si="31"/>
        <v>Not Done</v>
      </c>
      <c r="K122">
        <f t="shared" si="26"/>
        <v>900</v>
      </c>
      <c r="L122">
        <f t="shared" si="27"/>
        <v>9.0000000000000018</v>
      </c>
      <c r="M122" s="9">
        <v>1</v>
      </c>
      <c r="N122" s="9">
        <f t="shared" si="28"/>
        <v>1000</v>
      </c>
      <c r="O122" s="9"/>
      <c r="P122" s="9" t="s">
        <v>72</v>
      </c>
      <c r="Q122" s="9">
        <v>4</v>
      </c>
      <c r="R122" s="9" t="s">
        <v>42</v>
      </c>
      <c r="S122" s="9">
        <v>0.1</v>
      </c>
      <c r="T122" s="9">
        <v>0.45</v>
      </c>
      <c r="U122" s="9">
        <v>0</v>
      </c>
      <c r="V122" s="9" t="s">
        <v>73</v>
      </c>
      <c r="W122" s="9" t="s">
        <v>43</v>
      </c>
    </row>
    <row r="123" spans="2:23" x14ac:dyDescent="0.3">
      <c r="B123" s="10" t="s">
        <v>92</v>
      </c>
      <c r="C123" s="6" t="s">
        <v>65</v>
      </c>
      <c r="D123" s="8">
        <f t="shared" si="29"/>
        <v>1.782</v>
      </c>
      <c r="E123" s="8"/>
      <c r="F123" s="8">
        <f t="shared" si="30"/>
        <v>1.8180000000000001</v>
      </c>
      <c r="G123" s="6" t="s">
        <v>62</v>
      </c>
      <c r="H123" s="6" t="str">
        <f t="shared" si="31"/>
        <v>Not Done</v>
      </c>
      <c r="K123">
        <f t="shared" si="26"/>
        <v>1.8</v>
      </c>
      <c r="L123">
        <f t="shared" si="27"/>
        <v>1.8000000000000002E-2</v>
      </c>
      <c r="M123" s="9">
        <v>1</v>
      </c>
      <c r="N123" s="9">
        <f t="shared" si="28"/>
        <v>1</v>
      </c>
      <c r="O123" s="9"/>
      <c r="P123" s="9" t="s">
        <v>72</v>
      </c>
      <c r="Q123" s="9">
        <v>4</v>
      </c>
      <c r="R123" s="9" t="s">
        <v>42</v>
      </c>
      <c r="S123" s="9">
        <v>0.2</v>
      </c>
      <c r="T123" s="9">
        <v>0.9</v>
      </c>
      <c r="U123" s="9">
        <v>0</v>
      </c>
      <c r="V123" s="9" t="s">
        <v>73</v>
      </c>
      <c r="W123" s="9" t="s">
        <v>43</v>
      </c>
    </row>
    <row r="124" spans="2:23" x14ac:dyDescent="0.3">
      <c r="B124" s="10" t="s">
        <v>92</v>
      </c>
      <c r="C124" s="6" t="s">
        <v>60</v>
      </c>
      <c r="D124" s="7">
        <f t="shared" si="29"/>
        <v>4.4550000000000001</v>
      </c>
      <c r="E124" s="8"/>
      <c r="F124" s="7">
        <f t="shared" si="30"/>
        <v>4.5449999999999999</v>
      </c>
      <c r="G124" s="6" t="s">
        <v>62</v>
      </c>
      <c r="H124" s="6" t="str">
        <f t="shared" si="31"/>
        <v>Not Done</v>
      </c>
      <c r="K124">
        <f t="shared" si="26"/>
        <v>4.5</v>
      </c>
      <c r="L124">
        <f t="shared" si="27"/>
        <v>4.4999999999999998E-2</v>
      </c>
      <c r="M124" s="9">
        <v>1</v>
      </c>
      <c r="N124" s="9">
        <f t="shared" si="28"/>
        <v>1</v>
      </c>
      <c r="O124" s="9"/>
      <c r="P124" s="9" t="s">
        <v>72</v>
      </c>
      <c r="Q124" s="9">
        <v>4</v>
      </c>
      <c r="R124" s="9" t="s">
        <v>42</v>
      </c>
      <c r="S124" s="9">
        <v>0.5</v>
      </c>
      <c r="T124" s="9">
        <v>2.25</v>
      </c>
      <c r="U124" s="9">
        <v>0</v>
      </c>
      <c r="V124" s="9" t="s">
        <v>73</v>
      </c>
      <c r="W124" s="9" t="s">
        <v>43</v>
      </c>
    </row>
    <row r="125" spans="2:23" x14ac:dyDescent="0.3">
      <c r="B125" s="10" t="s">
        <v>92</v>
      </c>
      <c r="C125" s="6" t="s">
        <v>61</v>
      </c>
      <c r="D125" s="7">
        <f t="shared" si="29"/>
        <v>8.91</v>
      </c>
      <c r="E125" s="8"/>
      <c r="F125" s="7">
        <f t="shared" si="30"/>
        <v>9.09</v>
      </c>
      <c r="G125" s="6" t="s">
        <v>62</v>
      </c>
      <c r="H125" s="6" t="str">
        <f t="shared" si="31"/>
        <v>Not Done</v>
      </c>
      <c r="K125">
        <f t="shared" si="26"/>
        <v>9</v>
      </c>
      <c r="L125">
        <f t="shared" si="27"/>
        <v>0.09</v>
      </c>
      <c r="M125" s="9">
        <v>1</v>
      </c>
      <c r="N125" s="9">
        <f t="shared" si="28"/>
        <v>1</v>
      </c>
      <c r="O125" s="9"/>
      <c r="P125" s="9" t="s">
        <v>72</v>
      </c>
      <c r="Q125" s="9">
        <v>4</v>
      </c>
      <c r="R125" s="9" t="s">
        <v>42</v>
      </c>
      <c r="S125" s="9">
        <v>1</v>
      </c>
      <c r="T125" s="9">
        <v>4.5</v>
      </c>
      <c r="U125" s="9">
        <v>0</v>
      </c>
      <c r="V125" s="9" t="s">
        <v>73</v>
      </c>
      <c r="W125" s="9" t="s">
        <v>43</v>
      </c>
    </row>
    <row r="126" spans="2:23" x14ac:dyDescent="0.3">
      <c r="B126" s="10" t="s">
        <v>93</v>
      </c>
      <c r="C126" s="6" t="s">
        <v>58</v>
      </c>
      <c r="D126" s="17">
        <f t="shared" si="29"/>
        <v>178.2</v>
      </c>
      <c r="E126" s="17"/>
      <c r="F126" s="17">
        <f t="shared" si="30"/>
        <v>181.8</v>
      </c>
      <c r="G126" s="6" t="s">
        <v>54</v>
      </c>
      <c r="H126" s="6" t="str">
        <f t="shared" si="31"/>
        <v>Not Done</v>
      </c>
      <c r="K126">
        <f t="shared" si="26"/>
        <v>180</v>
      </c>
      <c r="L126">
        <f t="shared" si="27"/>
        <v>1.8</v>
      </c>
      <c r="M126" s="9">
        <v>1</v>
      </c>
      <c r="N126" s="9">
        <f t="shared" si="28"/>
        <v>1000</v>
      </c>
      <c r="O126" s="9"/>
      <c r="P126" s="9" t="s">
        <v>72</v>
      </c>
      <c r="Q126" s="9">
        <v>4</v>
      </c>
      <c r="R126" s="9" t="s">
        <v>42</v>
      </c>
      <c r="S126" s="9">
        <v>0.02</v>
      </c>
      <c r="T126" s="9">
        <v>0.09</v>
      </c>
      <c r="U126" s="9">
        <v>0</v>
      </c>
      <c r="V126" s="9" t="s">
        <v>75</v>
      </c>
      <c r="W126" s="9" t="s">
        <v>43</v>
      </c>
    </row>
    <row r="127" spans="2:23" x14ac:dyDescent="0.3">
      <c r="B127" s="10" t="s">
        <v>94</v>
      </c>
      <c r="C127" s="6" t="s">
        <v>58</v>
      </c>
      <c r="D127" s="17">
        <f t="shared" si="29"/>
        <v>178.2</v>
      </c>
      <c r="E127" s="17"/>
      <c r="F127" s="17">
        <f t="shared" si="30"/>
        <v>181.8</v>
      </c>
      <c r="G127" s="6" t="s">
        <v>54</v>
      </c>
      <c r="H127" s="6" t="str">
        <f t="shared" si="31"/>
        <v>Not Done</v>
      </c>
      <c r="K127">
        <f t="shared" si="26"/>
        <v>180</v>
      </c>
      <c r="L127">
        <f t="shared" si="27"/>
        <v>1.8</v>
      </c>
      <c r="M127" s="9">
        <v>1</v>
      </c>
      <c r="N127" s="9">
        <f t="shared" si="28"/>
        <v>1000</v>
      </c>
      <c r="O127" s="9"/>
      <c r="P127" s="9" t="s">
        <v>72</v>
      </c>
      <c r="Q127" s="9">
        <v>4</v>
      </c>
      <c r="R127" s="9" t="s">
        <v>42</v>
      </c>
      <c r="S127" s="9">
        <v>0.02</v>
      </c>
      <c r="T127" s="9">
        <v>0.09</v>
      </c>
      <c r="U127" s="9">
        <v>0</v>
      </c>
      <c r="V127" s="9" t="s">
        <v>63</v>
      </c>
      <c r="W127" s="9" t="s">
        <v>43</v>
      </c>
    </row>
    <row r="128" spans="2:23" x14ac:dyDescent="0.3">
      <c r="B128" s="10" t="s">
        <v>95</v>
      </c>
      <c r="C128" s="6" t="s">
        <v>53</v>
      </c>
      <c r="D128" s="7">
        <f t="shared" ref="D128" si="35">K128-L128</f>
        <v>8.7750000000000004</v>
      </c>
      <c r="E128" s="7"/>
      <c r="F128" s="7">
        <f t="shared" ref="F128" si="36">K128+L128</f>
        <v>9.2249999999999996</v>
      </c>
      <c r="G128" s="6" t="s">
        <v>54</v>
      </c>
      <c r="H128" s="6" t="str">
        <f t="shared" ref="H128" si="37">IF(ISBLANK(E128),"Not Done",IF(AND(E128&lt;=F128,E128&gt;=D128),"Pass","Fail"))</f>
        <v>Not Done</v>
      </c>
      <c r="K128">
        <f t="shared" si="26"/>
        <v>9</v>
      </c>
      <c r="L128">
        <f t="shared" si="27"/>
        <v>0.22500000000000001</v>
      </c>
      <c r="M128" s="9">
        <v>2.5</v>
      </c>
      <c r="N128" s="9">
        <f t="shared" si="28"/>
        <v>1000</v>
      </c>
      <c r="O128" s="9"/>
      <c r="P128" s="9" t="s">
        <v>72</v>
      </c>
      <c r="Q128" s="9">
        <v>4</v>
      </c>
      <c r="R128" s="9" t="s">
        <v>42</v>
      </c>
      <c r="S128" s="9">
        <v>1E-3</v>
      </c>
      <c r="T128" s="9">
        <v>4.4999999999999997E-3</v>
      </c>
      <c r="U128" s="9">
        <v>0</v>
      </c>
      <c r="V128" s="9" t="s">
        <v>73</v>
      </c>
      <c r="W128" s="9">
        <v>50</v>
      </c>
    </row>
    <row r="129" spans="1:23" x14ac:dyDescent="0.3">
      <c r="B129" s="10" t="s">
        <v>95</v>
      </c>
      <c r="C129" s="6" t="s">
        <v>55</v>
      </c>
      <c r="D129" s="7">
        <f t="shared" si="29"/>
        <v>17.82</v>
      </c>
      <c r="E129" s="7"/>
      <c r="F129" s="7">
        <f t="shared" si="30"/>
        <v>18.18</v>
      </c>
      <c r="G129" s="6" t="s">
        <v>54</v>
      </c>
      <c r="H129" s="6" t="str">
        <f t="shared" si="31"/>
        <v>Not Done</v>
      </c>
      <c r="K129">
        <f t="shared" si="26"/>
        <v>18</v>
      </c>
      <c r="L129">
        <f t="shared" si="27"/>
        <v>0.18</v>
      </c>
      <c r="M129" s="9">
        <v>1</v>
      </c>
      <c r="N129" s="9">
        <f t="shared" si="28"/>
        <v>1000</v>
      </c>
      <c r="O129" s="9"/>
      <c r="P129" s="9" t="s">
        <v>72</v>
      </c>
      <c r="Q129" s="9">
        <v>4</v>
      </c>
      <c r="R129" s="9" t="s">
        <v>42</v>
      </c>
      <c r="S129" s="9">
        <v>2E-3</v>
      </c>
      <c r="T129" s="9">
        <v>8.9999999999999993E-3</v>
      </c>
      <c r="U129" s="9">
        <v>0</v>
      </c>
      <c r="V129" s="9" t="s">
        <v>73</v>
      </c>
      <c r="W129" s="9">
        <v>50</v>
      </c>
    </row>
    <row r="130" spans="1:23" x14ac:dyDescent="0.3">
      <c r="B130" s="10" t="s">
        <v>95</v>
      </c>
      <c r="C130" s="6" t="s">
        <v>56</v>
      </c>
      <c r="D130" s="17">
        <f t="shared" si="29"/>
        <v>44.55</v>
      </c>
      <c r="E130" s="7"/>
      <c r="F130" s="17">
        <f t="shared" si="30"/>
        <v>45.45</v>
      </c>
      <c r="G130" s="6" t="s">
        <v>54</v>
      </c>
      <c r="H130" s="6" t="str">
        <f t="shared" si="31"/>
        <v>Not Done</v>
      </c>
      <c r="K130">
        <f t="shared" si="26"/>
        <v>45</v>
      </c>
      <c r="L130">
        <f t="shared" si="27"/>
        <v>0.45</v>
      </c>
      <c r="M130" s="9">
        <v>1</v>
      </c>
      <c r="N130" s="9">
        <f t="shared" si="28"/>
        <v>1000</v>
      </c>
      <c r="O130" s="9"/>
      <c r="P130" s="9" t="s">
        <v>72</v>
      </c>
      <c r="Q130" s="9">
        <v>4</v>
      </c>
      <c r="R130" s="9" t="s">
        <v>42</v>
      </c>
      <c r="S130" s="9">
        <v>5.0000000000000001E-3</v>
      </c>
      <c r="T130" s="9">
        <v>2.2499999999999999E-2</v>
      </c>
      <c r="U130" s="9">
        <v>0</v>
      </c>
      <c r="V130" s="9" t="s">
        <v>73</v>
      </c>
      <c r="W130" s="9">
        <v>50</v>
      </c>
    </row>
    <row r="131" spans="1:23" x14ac:dyDescent="0.3">
      <c r="B131" s="10" t="s">
        <v>95</v>
      </c>
      <c r="C131" s="6" t="s">
        <v>57</v>
      </c>
      <c r="D131" s="17">
        <f t="shared" si="29"/>
        <v>89.1</v>
      </c>
      <c r="E131" s="7"/>
      <c r="F131" s="17">
        <f t="shared" si="30"/>
        <v>90.9</v>
      </c>
      <c r="G131" s="6" t="s">
        <v>54</v>
      </c>
      <c r="H131" s="6" t="str">
        <f t="shared" si="31"/>
        <v>Not Done</v>
      </c>
      <c r="K131">
        <f t="shared" si="26"/>
        <v>90</v>
      </c>
      <c r="L131">
        <f t="shared" si="27"/>
        <v>0.9</v>
      </c>
      <c r="M131" s="9">
        <v>1</v>
      </c>
      <c r="N131" s="9">
        <f t="shared" si="28"/>
        <v>1000</v>
      </c>
      <c r="O131" s="9"/>
      <c r="P131" s="9" t="s">
        <v>72</v>
      </c>
      <c r="Q131" s="9">
        <v>4</v>
      </c>
      <c r="R131" s="9" t="s">
        <v>42</v>
      </c>
      <c r="S131" s="9">
        <v>0.01</v>
      </c>
      <c r="T131" s="9">
        <v>4.4999999999999998E-2</v>
      </c>
      <c r="U131" s="9">
        <v>0</v>
      </c>
      <c r="V131" s="9" t="s">
        <v>73</v>
      </c>
      <c r="W131" s="9">
        <v>50</v>
      </c>
    </row>
    <row r="132" spans="1:23" x14ac:dyDescent="0.3">
      <c r="B132" s="10" t="s">
        <v>95</v>
      </c>
      <c r="C132" s="6" t="s">
        <v>58</v>
      </c>
      <c r="D132" s="17">
        <f t="shared" si="29"/>
        <v>178.2</v>
      </c>
      <c r="E132" s="17"/>
      <c r="F132" s="17">
        <f t="shared" si="30"/>
        <v>181.8</v>
      </c>
      <c r="G132" s="6" t="s">
        <v>54</v>
      </c>
      <c r="H132" s="6" t="str">
        <f t="shared" si="31"/>
        <v>Not Done</v>
      </c>
      <c r="K132">
        <f t="shared" si="26"/>
        <v>180</v>
      </c>
      <c r="L132">
        <f t="shared" si="27"/>
        <v>1.8</v>
      </c>
      <c r="M132" s="9">
        <v>1</v>
      </c>
      <c r="N132" s="9">
        <f t="shared" si="28"/>
        <v>1000</v>
      </c>
      <c r="O132" s="9"/>
      <c r="P132" s="9" t="s">
        <v>72</v>
      </c>
      <c r="Q132" s="9">
        <v>4</v>
      </c>
      <c r="R132" s="9" t="s">
        <v>42</v>
      </c>
      <c r="S132" s="9">
        <v>0.02</v>
      </c>
      <c r="T132" s="9">
        <v>0.09</v>
      </c>
      <c r="U132" s="9">
        <v>0</v>
      </c>
      <c r="V132" s="9" t="s">
        <v>73</v>
      </c>
      <c r="W132" s="9">
        <v>50</v>
      </c>
    </row>
    <row r="133" spans="1:23" x14ac:dyDescent="0.3">
      <c r="B133" s="10" t="s">
        <v>95</v>
      </c>
      <c r="C133" s="6" t="s">
        <v>64</v>
      </c>
      <c r="D133" s="14">
        <f t="shared" si="29"/>
        <v>445.5</v>
      </c>
      <c r="E133" s="17"/>
      <c r="F133" s="14">
        <f t="shared" si="30"/>
        <v>454.5</v>
      </c>
      <c r="G133" s="6" t="s">
        <v>54</v>
      </c>
      <c r="H133" s="6" t="str">
        <f t="shared" si="31"/>
        <v>Not Done</v>
      </c>
      <c r="K133">
        <f t="shared" si="26"/>
        <v>450</v>
      </c>
      <c r="L133">
        <f t="shared" si="27"/>
        <v>4.5000000000000009</v>
      </c>
      <c r="M133" s="9">
        <v>1</v>
      </c>
      <c r="N133" s="9">
        <f t="shared" si="28"/>
        <v>1000</v>
      </c>
      <c r="O133" s="9"/>
      <c r="P133" s="9" t="s">
        <v>72</v>
      </c>
      <c r="Q133" s="9">
        <v>4</v>
      </c>
      <c r="R133" s="9" t="s">
        <v>42</v>
      </c>
      <c r="S133" s="9">
        <v>0.05</v>
      </c>
      <c r="T133" s="9">
        <v>0.22500000000000001</v>
      </c>
      <c r="U133" s="9">
        <v>0</v>
      </c>
      <c r="V133" s="9" t="s">
        <v>73</v>
      </c>
      <c r="W133" s="9">
        <v>50</v>
      </c>
    </row>
    <row r="134" spans="1:23" x14ac:dyDescent="0.3">
      <c r="B134" s="10" t="s">
        <v>95</v>
      </c>
      <c r="C134" s="6" t="s">
        <v>59</v>
      </c>
      <c r="D134" s="14">
        <f t="shared" si="29"/>
        <v>891</v>
      </c>
      <c r="E134" s="17"/>
      <c r="F134" s="14">
        <f t="shared" si="30"/>
        <v>909</v>
      </c>
      <c r="G134" s="6" t="s">
        <v>54</v>
      </c>
      <c r="H134" s="6" t="str">
        <f t="shared" si="31"/>
        <v>Not Done</v>
      </c>
      <c r="K134">
        <f t="shared" si="26"/>
        <v>900</v>
      </c>
      <c r="L134">
        <f t="shared" si="27"/>
        <v>9.0000000000000018</v>
      </c>
      <c r="M134" s="9">
        <v>1</v>
      </c>
      <c r="N134" s="9">
        <f t="shared" si="28"/>
        <v>1000</v>
      </c>
      <c r="O134" s="9"/>
      <c r="P134" s="9" t="s">
        <v>72</v>
      </c>
      <c r="Q134" s="9">
        <v>4</v>
      </c>
      <c r="R134" s="9" t="s">
        <v>42</v>
      </c>
      <c r="S134" s="9">
        <v>0.1</v>
      </c>
      <c r="T134" s="9">
        <v>0.45</v>
      </c>
      <c r="U134" s="9">
        <v>0</v>
      </c>
      <c r="V134" s="9" t="s">
        <v>73</v>
      </c>
      <c r="W134" s="9">
        <v>50</v>
      </c>
    </row>
    <row r="135" spans="1:23" x14ac:dyDescent="0.3">
      <c r="B135" s="10" t="s">
        <v>95</v>
      </c>
      <c r="C135" s="6" t="s">
        <v>65</v>
      </c>
      <c r="D135" s="8">
        <f t="shared" si="29"/>
        <v>1.782</v>
      </c>
      <c r="E135" s="8"/>
      <c r="F135" s="8">
        <f t="shared" si="30"/>
        <v>1.8180000000000001</v>
      </c>
      <c r="G135" s="6" t="s">
        <v>62</v>
      </c>
      <c r="H135" s="6" t="str">
        <f t="shared" si="31"/>
        <v>Not Done</v>
      </c>
      <c r="K135">
        <f t="shared" si="26"/>
        <v>1.8</v>
      </c>
      <c r="L135">
        <f t="shared" si="27"/>
        <v>1.8000000000000002E-2</v>
      </c>
      <c r="M135" s="9">
        <v>1</v>
      </c>
      <c r="N135" s="9">
        <f t="shared" si="28"/>
        <v>1</v>
      </c>
      <c r="O135" s="9"/>
      <c r="P135" s="9" t="s">
        <v>72</v>
      </c>
      <c r="Q135" s="9">
        <v>4</v>
      </c>
      <c r="R135" s="9" t="s">
        <v>42</v>
      </c>
      <c r="S135" s="9">
        <v>0.2</v>
      </c>
      <c r="T135" s="9">
        <v>0.9</v>
      </c>
      <c r="U135" s="9">
        <v>0</v>
      </c>
      <c r="V135" s="9" t="s">
        <v>73</v>
      </c>
      <c r="W135" s="9">
        <v>50</v>
      </c>
    </row>
    <row r="136" spans="1:23" x14ac:dyDescent="0.3">
      <c r="B136" s="10" t="s">
        <v>95</v>
      </c>
      <c r="C136" s="6" t="s">
        <v>60</v>
      </c>
      <c r="D136" s="7">
        <f t="shared" si="29"/>
        <v>4.4550000000000001</v>
      </c>
      <c r="E136" s="8"/>
      <c r="F136" s="7">
        <f t="shared" si="30"/>
        <v>4.5449999999999999</v>
      </c>
      <c r="G136" s="6" t="s">
        <v>62</v>
      </c>
      <c r="H136" s="6" t="str">
        <f t="shared" si="31"/>
        <v>Not Done</v>
      </c>
      <c r="K136">
        <f t="shared" si="26"/>
        <v>4.5</v>
      </c>
      <c r="L136">
        <f t="shared" si="27"/>
        <v>4.4999999999999998E-2</v>
      </c>
      <c r="M136" s="9">
        <v>1</v>
      </c>
      <c r="N136" s="9">
        <f t="shared" si="28"/>
        <v>1</v>
      </c>
      <c r="O136" s="9"/>
      <c r="P136" s="9" t="s">
        <v>72</v>
      </c>
      <c r="Q136" s="9">
        <v>4</v>
      </c>
      <c r="R136" s="9" t="s">
        <v>42</v>
      </c>
      <c r="S136" s="9">
        <v>0.5</v>
      </c>
      <c r="T136" s="9">
        <v>2.25</v>
      </c>
      <c r="U136" s="9">
        <v>0</v>
      </c>
      <c r="V136" s="9" t="s">
        <v>73</v>
      </c>
      <c r="W136" s="9">
        <v>50</v>
      </c>
    </row>
    <row r="137" spans="1:23" x14ac:dyDescent="0.3">
      <c r="B137" s="10" t="s">
        <v>95</v>
      </c>
      <c r="C137" s="6" t="s">
        <v>61</v>
      </c>
      <c r="D137" s="7">
        <f t="shared" si="29"/>
        <v>5.94</v>
      </c>
      <c r="E137" s="8"/>
      <c r="F137" s="7">
        <f t="shared" si="30"/>
        <v>6.06</v>
      </c>
      <c r="G137" s="6" t="s">
        <v>62</v>
      </c>
      <c r="H137" s="6" t="str">
        <f t="shared" si="31"/>
        <v>Not Done</v>
      </c>
      <c r="K137">
        <f t="shared" si="26"/>
        <v>6</v>
      </c>
      <c r="L137">
        <f t="shared" si="27"/>
        <v>0.06</v>
      </c>
      <c r="M137" s="9">
        <v>1</v>
      </c>
      <c r="N137" s="9">
        <f t="shared" si="28"/>
        <v>1</v>
      </c>
      <c r="O137" s="9"/>
      <c r="P137" s="9" t="s">
        <v>72</v>
      </c>
      <c r="Q137" s="9">
        <v>4</v>
      </c>
      <c r="R137" s="9" t="s">
        <v>42</v>
      </c>
      <c r="S137" s="9">
        <v>1</v>
      </c>
      <c r="T137" s="9">
        <v>3</v>
      </c>
      <c r="U137" s="9">
        <v>0</v>
      </c>
      <c r="V137" s="9" t="s">
        <v>73</v>
      </c>
      <c r="W137" s="9">
        <v>50</v>
      </c>
    </row>
    <row r="138" spans="1:23" x14ac:dyDescent="0.3">
      <c r="B138" s="10" t="s">
        <v>96</v>
      </c>
      <c r="C138" s="6" t="s">
        <v>58</v>
      </c>
      <c r="D138" s="17">
        <f t="shared" si="29"/>
        <v>178.2</v>
      </c>
      <c r="E138" s="7"/>
      <c r="F138" s="17">
        <f t="shared" si="30"/>
        <v>181.8</v>
      </c>
      <c r="G138" s="6" t="s">
        <v>54</v>
      </c>
      <c r="H138" s="6" t="str">
        <f t="shared" si="31"/>
        <v>Not Done</v>
      </c>
      <c r="K138">
        <f t="shared" si="26"/>
        <v>180</v>
      </c>
      <c r="L138">
        <f t="shared" si="27"/>
        <v>1.8</v>
      </c>
      <c r="M138" s="9">
        <v>1</v>
      </c>
      <c r="N138" s="9">
        <f t="shared" si="28"/>
        <v>1000</v>
      </c>
      <c r="O138" s="9"/>
      <c r="P138" s="9" t="s">
        <v>72</v>
      </c>
      <c r="Q138" s="9">
        <v>4</v>
      </c>
      <c r="R138" s="9" t="s">
        <v>42</v>
      </c>
      <c r="S138" s="9">
        <v>0.02</v>
      </c>
      <c r="T138" s="9">
        <v>0.09</v>
      </c>
      <c r="U138" s="9">
        <v>0</v>
      </c>
      <c r="V138" s="9" t="s">
        <v>75</v>
      </c>
      <c r="W138" s="9">
        <v>50</v>
      </c>
    </row>
    <row r="139" spans="1:23" x14ac:dyDescent="0.3">
      <c r="B139" s="10" t="s">
        <v>97</v>
      </c>
      <c r="C139" s="6" t="s">
        <v>58</v>
      </c>
      <c r="D139" s="17">
        <f t="shared" si="29"/>
        <v>178.2</v>
      </c>
      <c r="E139" s="7"/>
      <c r="F139" s="17">
        <f t="shared" si="30"/>
        <v>181.8</v>
      </c>
      <c r="G139" s="6" t="s">
        <v>54</v>
      </c>
      <c r="H139" s="6" t="str">
        <f t="shared" si="31"/>
        <v>Not Done</v>
      </c>
      <c r="K139">
        <f t="shared" si="26"/>
        <v>180</v>
      </c>
      <c r="L139">
        <f t="shared" si="27"/>
        <v>1.8</v>
      </c>
      <c r="M139" s="9">
        <v>1</v>
      </c>
      <c r="N139" s="9">
        <f t="shared" si="28"/>
        <v>1000</v>
      </c>
      <c r="O139" s="9"/>
      <c r="P139" s="9" t="s">
        <v>72</v>
      </c>
      <c r="Q139" s="9">
        <v>4</v>
      </c>
      <c r="R139" s="9" t="s">
        <v>42</v>
      </c>
      <c r="S139" s="9">
        <v>0.02</v>
      </c>
      <c r="T139" s="9">
        <v>0.09</v>
      </c>
      <c r="U139" s="9">
        <v>0</v>
      </c>
      <c r="V139" s="9" t="s">
        <v>63</v>
      </c>
      <c r="W139" s="9">
        <v>50</v>
      </c>
    </row>
    <row r="140" spans="1:23" x14ac:dyDescent="0.3">
      <c r="A140" s="9">
        <v>6</v>
      </c>
      <c r="B140" s="10" t="s">
        <v>140</v>
      </c>
      <c r="C140" s="6" t="s">
        <v>53</v>
      </c>
      <c r="D140" s="17">
        <f t="shared" si="29"/>
        <v>8.82</v>
      </c>
      <c r="E140" s="7"/>
      <c r="F140" s="17">
        <f t="shared" si="30"/>
        <v>9.18</v>
      </c>
      <c r="G140" s="6" t="s">
        <v>54</v>
      </c>
      <c r="H140" s="6" t="str">
        <f t="shared" si="31"/>
        <v>Not Done</v>
      </c>
      <c r="K140">
        <f t="shared" si="26"/>
        <v>9</v>
      </c>
      <c r="L140">
        <f t="shared" si="27"/>
        <v>0.18</v>
      </c>
      <c r="M140" s="9">
        <v>2</v>
      </c>
      <c r="N140" s="9">
        <f t="shared" si="28"/>
        <v>1000</v>
      </c>
      <c r="O140" s="9"/>
      <c r="P140" s="9" t="s">
        <v>72</v>
      </c>
      <c r="Q140" s="9">
        <v>5</v>
      </c>
      <c r="R140" s="9" t="s">
        <v>42</v>
      </c>
      <c r="S140" s="9">
        <v>1E-3</v>
      </c>
      <c r="T140" s="9">
        <v>4.4999999999999997E-3</v>
      </c>
      <c r="U140" s="9">
        <v>0</v>
      </c>
      <c r="V140" s="9" t="s">
        <v>73</v>
      </c>
      <c r="W140" s="9" t="s">
        <v>43</v>
      </c>
    </row>
    <row r="141" spans="1:23" x14ac:dyDescent="0.3">
      <c r="A141" s="9">
        <v>6</v>
      </c>
      <c r="B141" s="10" t="s">
        <v>140</v>
      </c>
      <c r="C141" s="6" t="s">
        <v>55</v>
      </c>
      <c r="D141" s="17">
        <f t="shared" si="29"/>
        <v>17.82</v>
      </c>
      <c r="E141" s="7"/>
      <c r="F141" s="17">
        <f t="shared" si="30"/>
        <v>18.18</v>
      </c>
      <c r="G141" s="6" t="s">
        <v>54</v>
      </c>
      <c r="H141" s="6" t="str">
        <f t="shared" si="31"/>
        <v>Not Done</v>
      </c>
      <c r="K141">
        <f t="shared" si="26"/>
        <v>18</v>
      </c>
      <c r="L141">
        <f t="shared" si="27"/>
        <v>0.18</v>
      </c>
      <c r="M141" s="9">
        <v>1</v>
      </c>
      <c r="N141" s="9">
        <f t="shared" si="28"/>
        <v>1000</v>
      </c>
      <c r="O141" s="9"/>
      <c r="P141" s="9" t="s">
        <v>72</v>
      </c>
      <c r="Q141" s="9">
        <v>5</v>
      </c>
      <c r="R141" s="9" t="s">
        <v>42</v>
      </c>
      <c r="S141" s="9">
        <v>2E-3</v>
      </c>
      <c r="T141" s="9">
        <v>8.9999999999999993E-3</v>
      </c>
      <c r="U141" s="9">
        <v>0</v>
      </c>
      <c r="V141" s="9" t="s">
        <v>73</v>
      </c>
      <c r="W141" s="9" t="s">
        <v>43</v>
      </c>
    </row>
    <row r="142" spans="1:23" x14ac:dyDescent="0.3">
      <c r="A142" s="9">
        <v>6</v>
      </c>
      <c r="B142" s="10" t="s">
        <v>140</v>
      </c>
      <c r="C142" s="6" t="s">
        <v>56</v>
      </c>
      <c r="D142" s="17">
        <f t="shared" si="29"/>
        <v>44.55</v>
      </c>
      <c r="E142" s="7"/>
      <c r="F142" s="17">
        <f t="shared" si="30"/>
        <v>45.45</v>
      </c>
      <c r="G142" s="6" t="s">
        <v>54</v>
      </c>
      <c r="H142" s="6" t="str">
        <f t="shared" si="31"/>
        <v>Not Done</v>
      </c>
      <c r="K142">
        <f t="shared" si="26"/>
        <v>45</v>
      </c>
      <c r="L142">
        <f t="shared" si="27"/>
        <v>0.45</v>
      </c>
      <c r="M142" s="9">
        <v>1</v>
      </c>
      <c r="N142" s="9">
        <f t="shared" si="28"/>
        <v>1000</v>
      </c>
      <c r="O142" s="9"/>
      <c r="P142" s="9" t="s">
        <v>72</v>
      </c>
      <c r="Q142" s="9">
        <v>5</v>
      </c>
      <c r="R142" s="9" t="s">
        <v>42</v>
      </c>
      <c r="S142" s="9">
        <v>5.0000000000000001E-3</v>
      </c>
      <c r="T142" s="9">
        <v>2.2499999999999999E-2</v>
      </c>
      <c r="U142" s="9">
        <v>0</v>
      </c>
      <c r="V142" s="9" t="s">
        <v>73</v>
      </c>
      <c r="W142" s="9" t="s">
        <v>43</v>
      </c>
    </row>
    <row r="143" spans="1:23" x14ac:dyDescent="0.3">
      <c r="A143" s="9">
        <v>6</v>
      </c>
      <c r="B143" s="10" t="s">
        <v>140</v>
      </c>
      <c r="C143" s="6" t="s">
        <v>57</v>
      </c>
      <c r="D143" s="17">
        <f t="shared" si="29"/>
        <v>89.1</v>
      </c>
      <c r="E143" s="7"/>
      <c r="F143" s="17">
        <f t="shared" si="30"/>
        <v>90.9</v>
      </c>
      <c r="G143" s="6" t="s">
        <v>54</v>
      </c>
      <c r="H143" s="6" t="str">
        <f t="shared" si="31"/>
        <v>Not Done</v>
      </c>
      <c r="K143">
        <f t="shared" si="26"/>
        <v>90</v>
      </c>
      <c r="L143">
        <f t="shared" si="27"/>
        <v>0.9</v>
      </c>
      <c r="M143" s="9">
        <v>1</v>
      </c>
      <c r="N143" s="9">
        <f t="shared" si="28"/>
        <v>1000</v>
      </c>
      <c r="O143" s="9"/>
      <c r="P143" s="9" t="s">
        <v>72</v>
      </c>
      <c r="Q143" s="9">
        <v>5</v>
      </c>
      <c r="R143" s="9" t="s">
        <v>42</v>
      </c>
      <c r="S143" s="9">
        <v>0.01</v>
      </c>
      <c r="T143" s="9">
        <v>4.4999999999999998E-2</v>
      </c>
      <c r="U143" s="9">
        <v>0</v>
      </c>
      <c r="V143" s="9" t="s">
        <v>73</v>
      </c>
      <c r="W143" s="9" t="s">
        <v>43</v>
      </c>
    </row>
    <row r="144" spans="1:23" x14ac:dyDescent="0.3">
      <c r="A144" s="9">
        <v>6</v>
      </c>
      <c r="B144" s="10" t="s">
        <v>140</v>
      </c>
      <c r="C144" s="6" t="s">
        <v>58</v>
      </c>
      <c r="D144" s="14">
        <f t="shared" si="29"/>
        <v>178.2</v>
      </c>
      <c r="E144" s="17"/>
      <c r="F144" s="14">
        <f t="shared" si="30"/>
        <v>181.8</v>
      </c>
      <c r="G144" s="6" t="s">
        <v>54</v>
      </c>
      <c r="H144" s="6" t="str">
        <f t="shared" si="31"/>
        <v>Not Done</v>
      </c>
      <c r="K144">
        <f t="shared" si="26"/>
        <v>180</v>
      </c>
      <c r="L144">
        <f t="shared" si="27"/>
        <v>1.8</v>
      </c>
      <c r="M144" s="9">
        <v>1</v>
      </c>
      <c r="N144" s="9">
        <f t="shared" si="28"/>
        <v>1000</v>
      </c>
      <c r="O144" s="9"/>
      <c r="P144" s="9" t="s">
        <v>72</v>
      </c>
      <c r="Q144" s="9">
        <v>5</v>
      </c>
      <c r="R144" s="9" t="s">
        <v>42</v>
      </c>
      <c r="S144" s="9">
        <v>0.02</v>
      </c>
      <c r="T144" s="9">
        <v>0.09</v>
      </c>
      <c r="U144" s="9">
        <v>0</v>
      </c>
      <c r="V144" s="9" t="s">
        <v>73</v>
      </c>
      <c r="W144" s="9" t="s">
        <v>43</v>
      </c>
    </row>
    <row r="145" spans="1:23" x14ac:dyDescent="0.3">
      <c r="A145" s="9">
        <v>6</v>
      </c>
      <c r="B145" s="10" t="s">
        <v>140</v>
      </c>
      <c r="C145" s="6" t="s">
        <v>64</v>
      </c>
      <c r="D145" s="14">
        <f t="shared" si="29"/>
        <v>445.5</v>
      </c>
      <c r="E145" s="17"/>
      <c r="F145" s="14">
        <f t="shared" si="30"/>
        <v>454.5</v>
      </c>
      <c r="G145" s="6" t="s">
        <v>54</v>
      </c>
      <c r="H145" s="6" t="str">
        <f t="shared" si="31"/>
        <v>Not Done</v>
      </c>
      <c r="K145">
        <f t="shared" si="26"/>
        <v>450</v>
      </c>
      <c r="L145">
        <f t="shared" si="27"/>
        <v>4.5000000000000009</v>
      </c>
      <c r="M145" s="9">
        <v>1</v>
      </c>
      <c r="N145" s="9">
        <f t="shared" si="28"/>
        <v>1000</v>
      </c>
      <c r="O145" s="9"/>
      <c r="P145" s="9" t="s">
        <v>72</v>
      </c>
      <c r="Q145" s="9">
        <v>5</v>
      </c>
      <c r="R145" s="9" t="s">
        <v>42</v>
      </c>
      <c r="S145" s="9">
        <v>0.05</v>
      </c>
      <c r="T145" s="9">
        <v>0.22500000000000001</v>
      </c>
      <c r="U145" s="9">
        <v>0</v>
      </c>
      <c r="V145" s="9" t="s">
        <v>73</v>
      </c>
      <c r="W145" s="9" t="s">
        <v>43</v>
      </c>
    </row>
    <row r="146" spans="1:23" x14ac:dyDescent="0.3">
      <c r="A146" s="9">
        <v>6</v>
      </c>
      <c r="B146" s="10" t="s">
        <v>140</v>
      </c>
      <c r="C146" s="6" t="s">
        <v>59</v>
      </c>
      <c r="D146" s="14">
        <f t="shared" si="29"/>
        <v>891</v>
      </c>
      <c r="E146" s="17"/>
      <c r="F146" s="14">
        <f t="shared" si="30"/>
        <v>909</v>
      </c>
      <c r="G146" s="6" t="s">
        <v>54</v>
      </c>
      <c r="H146" s="6" t="str">
        <f t="shared" si="31"/>
        <v>Not Done</v>
      </c>
      <c r="K146">
        <f t="shared" si="26"/>
        <v>900</v>
      </c>
      <c r="L146">
        <f t="shared" si="27"/>
        <v>9.0000000000000018</v>
      </c>
      <c r="M146" s="9">
        <v>1</v>
      </c>
      <c r="N146" s="9">
        <f t="shared" si="28"/>
        <v>1000</v>
      </c>
      <c r="O146" s="9"/>
      <c r="P146" s="9" t="s">
        <v>72</v>
      </c>
      <c r="Q146" s="9">
        <v>5</v>
      </c>
      <c r="R146" s="9" t="s">
        <v>42</v>
      </c>
      <c r="S146" s="9">
        <v>0.1</v>
      </c>
      <c r="T146" s="9">
        <v>0.45</v>
      </c>
      <c r="U146" s="9">
        <v>0</v>
      </c>
      <c r="V146" s="9" t="s">
        <v>73</v>
      </c>
      <c r="W146" s="9" t="s">
        <v>43</v>
      </c>
    </row>
    <row r="147" spans="1:23" x14ac:dyDescent="0.3">
      <c r="A147" s="9">
        <v>6</v>
      </c>
      <c r="B147" s="10" t="s">
        <v>140</v>
      </c>
      <c r="C147" s="6" t="s">
        <v>65</v>
      </c>
      <c r="D147" s="7">
        <f t="shared" si="29"/>
        <v>1.782</v>
      </c>
      <c r="E147" s="8"/>
      <c r="F147" s="7">
        <f t="shared" si="30"/>
        <v>1.8180000000000001</v>
      </c>
      <c r="G147" s="6" t="s">
        <v>62</v>
      </c>
      <c r="H147" s="6" t="str">
        <f t="shared" si="31"/>
        <v>Not Done</v>
      </c>
      <c r="K147">
        <f t="shared" si="26"/>
        <v>1.8</v>
      </c>
      <c r="L147">
        <f t="shared" si="27"/>
        <v>1.8000000000000002E-2</v>
      </c>
      <c r="M147" s="9">
        <v>1</v>
      </c>
      <c r="N147" s="9">
        <f t="shared" si="28"/>
        <v>1</v>
      </c>
      <c r="O147" s="9"/>
      <c r="P147" s="9" t="s">
        <v>72</v>
      </c>
      <c r="Q147" s="9">
        <v>5</v>
      </c>
      <c r="R147" s="9" t="s">
        <v>42</v>
      </c>
      <c r="S147" s="9">
        <v>0.2</v>
      </c>
      <c r="T147" s="9">
        <v>0.9</v>
      </c>
      <c r="U147" s="9">
        <v>0</v>
      </c>
      <c r="V147" s="9" t="s">
        <v>73</v>
      </c>
      <c r="W147" s="9" t="s">
        <v>43</v>
      </c>
    </row>
    <row r="148" spans="1:23" x14ac:dyDescent="0.3">
      <c r="A148" s="9">
        <v>6</v>
      </c>
      <c r="B148" s="10" t="s">
        <v>140</v>
      </c>
      <c r="C148" s="6" t="s">
        <v>60</v>
      </c>
      <c r="D148" s="7">
        <f t="shared" si="29"/>
        <v>4.4550000000000001</v>
      </c>
      <c r="E148" s="8"/>
      <c r="F148" s="7">
        <f t="shared" si="30"/>
        <v>4.5449999999999999</v>
      </c>
      <c r="G148" s="6" t="s">
        <v>62</v>
      </c>
      <c r="H148" s="6" t="str">
        <f t="shared" si="31"/>
        <v>Not Done</v>
      </c>
      <c r="K148">
        <f t="shared" si="26"/>
        <v>4.5</v>
      </c>
      <c r="L148">
        <f t="shared" si="27"/>
        <v>4.4999999999999998E-2</v>
      </c>
      <c r="M148" s="9">
        <v>1</v>
      </c>
      <c r="N148" s="9">
        <f t="shared" si="28"/>
        <v>1</v>
      </c>
      <c r="O148" s="9"/>
      <c r="P148" s="9" t="s">
        <v>72</v>
      </c>
      <c r="Q148" s="9">
        <v>5</v>
      </c>
      <c r="R148" s="9" t="s">
        <v>42</v>
      </c>
      <c r="S148" s="9">
        <v>0.5</v>
      </c>
      <c r="T148" s="9">
        <v>2.25</v>
      </c>
      <c r="U148" s="9">
        <v>0</v>
      </c>
      <c r="V148" s="9" t="s">
        <v>73</v>
      </c>
      <c r="W148" s="9" t="s">
        <v>43</v>
      </c>
    </row>
    <row r="149" spans="1:23" x14ac:dyDescent="0.3">
      <c r="A149" s="9">
        <v>6</v>
      </c>
      <c r="B149" s="10" t="s">
        <v>140</v>
      </c>
      <c r="C149" s="6" t="s">
        <v>61</v>
      </c>
      <c r="D149" s="17">
        <f t="shared" si="29"/>
        <v>8.91</v>
      </c>
      <c r="E149" s="8"/>
      <c r="F149" s="17">
        <f t="shared" si="30"/>
        <v>9.09</v>
      </c>
      <c r="G149" s="6" t="s">
        <v>62</v>
      </c>
      <c r="H149" s="6" t="str">
        <f t="shared" si="31"/>
        <v>Not Done</v>
      </c>
      <c r="K149">
        <f t="shared" si="26"/>
        <v>9</v>
      </c>
      <c r="L149">
        <f t="shared" si="27"/>
        <v>0.09</v>
      </c>
      <c r="M149" s="9">
        <v>1</v>
      </c>
      <c r="N149" s="9">
        <f t="shared" si="28"/>
        <v>1</v>
      </c>
      <c r="O149" s="9"/>
      <c r="P149" s="9" t="s">
        <v>72</v>
      </c>
      <c r="Q149" s="9">
        <v>5</v>
      </c>
      <c r="R149" s="9" t="s">
        <v>42</v>
      </c>
      <c r="S149" s="9">
        <v>1</v>
      </c>
      <c r="T149" s="9">
        <v>4.5</v>
      </c>
      <c r="U149" s="9">
        <v>0</v>
      </c>
      <c r="V149" s="9" t="s">
        <v>73</v>
      </c>
      <c r="W149" s="9" t="s">
        <v>43</v>
      </c>
    </row>
    <row r="150" spans="1:23" x14ac:dyDescent="0.3">
      <c r="A150" s="9">
        <v>6</v>
      </c>
      <c r="B150" s="10" t="s">
        <v>141</v>
      </c>
      <c r="C150" s="6" t="s">
        <v>58</v>
      </c>
      <c r="D150" s="17">
        <f t="shared" si="29"/>
        <v>178.2</v>
      </c>
      <c r="E150" s="17"/>
      <c r="F150" s="17">
        <f t="shared" si="30"/>
        <v>181.8</v>
      </c>
      <c r="G150" s="6" t="s">
        <v>54</v>
      </c>
      <c r="H150" s="6" t="str">
        <f t="shared" si="31"/>
        <v>Not Done</v>
      </c>
      <c r="K150">
        <f t="shared" si="26"/>
        <v>180</v>
      </c>
      <c r="L150">
        <f t="shared" si="27"/>
        <v>1.8</v>
      </c>
      <c r="M150" s="9">
        <v>1</v>
      </c>
      <c r="N150" s="9">
        <f t="shared" si="28"/>
        <v>1000</v>
      </c>
      <c r="O150" s="9"/>
      <c r="P150" s="9" t="s">
        <v>72</v>
      </c>
      <c r="Q150" s="9">
        <v>5</v>
      </c>
      <c r="R150" s="9" t="s">
        <v>42</v>
      </c>
      <c r="S150" s="9">
        <v>0.02</v>
      </c>
      <c r="T150" s="9">
        <v>0.09</v>
      </c>
      <c r="U150" s="9">
        <v>0</v>
      </c>
      <c r="V150" s="9" t="s">
        <v>75</v>
      </c>
      <c r="W150" s="9" t="s">
        <v>43</v>
      </c>
    </row>
    <row r="151" spans="1:23" x14ac:dyDescent="0.3">
      <c r="A151" s="9">
        <v>6</v>
      </c>
      <c r="B151" s="10" t="s">
        <v>142</v>
      </c>
      <c r="C151" s="6" t="s">
        <v>58</v>
      </c>
      <c r="D151" s="7">
        <f t="shared" si="29"/>
        <v>178.2</v>
      </c>
      <c r="E151" s="17"/>
      <c r="F151" s="7">
        <f t="shared" si="30"/>
        <v>181.8</v>
      </c>
      <c r="G151" s="6" t="s">
        <v>54</v>
      </c>
      <c r="H151" s="6" t="str">
        <f t="shared" si="31"/>
        <v>Not Done</v>
      </c>
      <c r="K151">
        <f t="shared" si="26"/>
        <v>180</v>
      </c>
      <c r="L151">
        <f t="shared" si="27"/>
        <v>1.8</v>
      </c>
      <c r="M151" s="9">
        <v>1</v>
      </c>
      <c r="N151" s="9">
        <f t="shared" si="28"/>
        <v>1000</v>
      </c>
      <c r="O151" s="9"/>
      <c r="P151" s="9" t="s">
        <v>72</v>
      </c>
      <c r="Q151" s="9">
        <v>5</v>
      </c>
      <c r="R151" s="9" t="s">
        <v>42</v>
      </c>
      <c r="S151" s="9">
        <v>0.02</v>
      </c>
      <c r="T151" s="9">
        <v>0.09</v>
      </c>
      <c r="U151" s="9">
        <v>0</v>
      </c>
      <c r="V151" s="9" t="s">
        <v>63</v>
      </c>
      <c r="W151" s="9" t="s">
        <v>43</v>
      </c>
    </row>
    <row r="152" spans="1:23" x14ac:dyDescent="0.3">
      <c r="A152" s="9">
        <v>6</v>
      </c>
      <c r="B152" s="10" t="s">
        <v>143</v>
      </c>
      <c r="C152" s="6" t="s">
        <v>53</v>
      </c>
      <c r="D152" s="17">
        <f t="shared" si="29"/>
        <v>8.7750000000000004</v>
      </c>
      <c r="E152" s="7"/>
      <c r="F152" s="17">
        <f t="shared" si="30"/>
        <v>9.2249999999999996</v>
      </c>
      <c r="G152" s="6" t="s">
        <v>54</v>
      </c>
      <c r="H152" s="6" t="str">
        <f t="shared" si="31"/>
        <v>Not Done</v>
      </c>
      <c r="K152">
        <f t="shared" si="26"/>
        <v>9</v>
      </c>
      <c r="L152">
        <f t="shared" si="27"/>
        <v>0.22500000000000001</v>
      </c>
      <c r="M152" s="9">
        <v>2.5</v>
      </c>
      <c r="N152" s="9">
        <f t="shared" si="28"/>
        <v>1000</v>
      </c>
      <c r="O152" s="9"/>
      <c r="P152" s="9" t="s">
        <v>72</v>
      </c>
      <c r="Q152" s="9">
        <v>5</v>
      </c>
      <c r="R152" s="9" t="s">
        <v>42</v>
      </c>
      <c r="S152" s="9">
        <v>1E-3</v>
      </c>
      <c r="T152" s="9">
        <v>4.4999999999999997E-3</v>
      </c>
      <c r="U152" s="9">
        <v>0</v>
      </c>
      <c r="V152" s="9" t="s">
        <v>73</v>
      </c>
      <c r="W152" s="9">
        <v>50</v>
      </c>
    </row>
    <row r="153" spans="1:23" x14ac:dyDescent="0.3">
      <c r="A153" s="9">
        <v>6</v>
      </c>
      <c r="B153" s="10" t="s">
        <v>143</v>
      </c>
      <c r="C153" s="6" t="s">
        <v>55</v>
      </c>
      <c r="D153" s="17">
        <f t="shared" si="29"/>
        <v>17.82</v>
      </c>
      <c r="E153" s="7"/>
      <c r="F153" s="17">
        <f t="shared" si="30"/>
        <v>18.18</v>
      </c>
      <c r="G153" s="6" t="s">
        <v>54</v>
      </c>
      <c r="H153" s="6" t="str">
        <f t="shared" si="31"/>
        <v>Not Done</v>
      </c>
      <c r="K153">
        <f t="shared" si="26"/>
        <v>18</v>
      </c>
      <c r="L153">
        <f t="shared" si="27"/>
        <v>0.18</v>
      </c>
      <c r="M153" s="9">
        <v>1</v>
      </c>
      <c r="N153" s="9">
        <f t="shared" si="28"/>
        <v>1000</v>
      </c>
      <c r="O153" s="9"/>
      <c r="P153" s="9" t="s">
        <v>72</v>
      </c>
      <c r="Q153" s="9">
        <v>5</v>
      </c>
      <c r="R153" s="9" t="s">
        <v>42</v>
      </c>
      <c r="S153" s="9">
        <v>2E-3</v>
      </c>
      <c r="T153" s="9">
        <v>8.9999999999999993E-3</v>
      </c>
      <c r="U153" s="9">
        <v>0</v>
      </c>
      <c r="V153" s="9" t="s">
        <v>73</v>
      </c>
      <c r="W153" s="9">
        <v>50</v>
      </c>
    </row>
    <row r="154" spans="1:23" x14ac:dyDescent="0.3">
      <c r="A154" s="9">
        <v>6</v>
      </c>
      <c r="B154" s="10" t="s">
        <v>143</v>
      </c>
      <c r="C154" s="6" t="s">
        <v>56</v>
      </c>
      <c r="D154" s="17">
        <f t="shared" si="29"/>
        <v>44.55</v>
      </c>
      <c r="E154" s="7"/>
      <c r="F154" s="17">
        <f t="shared" si="30"/>
        <v>45.45</v>
      </c>
      <c r="G154" s="6" t="s">
        <v>54</v>
      </c>
      <c r="H154" s="6" t="str">
        <f t="shared" si="31"/>
        <v>Not Done</v>
      </c>
      <c r="K154">
        <f t="shared" si="26"/>
        <v>45</v>
      </c>
      <c r="L154">
        <f t="shared" si="27"/>
        <v>0.45</v>
      </c>
      <c r="M154" s="9">
        <v>1</v>
      </c>
      <c r="N154" s="9">
        <f t="shared" si="28"/>
        <v>1000</v>
      </c>
      <c r="O154" s="9"/>
      <c r="P154" s="9" t="s">
        <v>72</v>
      </c>
      <c r="Q154" s="9">
        <v>5</v>
      </c>
      <c r="R154" s="9" t="s">
        <v>42</v>
      </c>
      <c r="S154" s="9">
        <v>5.0000000000000001E-3</v>
      </c>
      <c r="T154" s="9">
        <v>2.2499999999999999E-2</v>
      </c>
      <c r="U154" s="9">
        <v>0</v>
      </c>
      <c r="V154" s="9" t="s">
        <v>73</v>
      </c>
      <c r="W154" s="9">
        <v>50</v>
      </c>
    </row>
    <row r="155" spans="1:23" x14ac:dyDescent="0.3">
      <c r="A155" s="9">
        <v>6</v>
      </c>
      <c r="B155" s="10" t="s">
        <v>143</v>
      </c>
      <c r="C155" s="6" t="s">
        <v>57</v>
      </c>
      <c r="D155" s="17">
        <f t="shared" si="29"/>
        <v>89.1</v>
      </c>
      <c r="E155" s="7"/>
      <c r="F155" s="17">
        <f t="shared" si="30"/>
        <v>90.9</v>
      </c>
      <c r="G155" s="6" t="s">
        <v>54</v>
      </c>
      <c r="H155" s="6" t="str">
        <f t="shared" si="31"/>
        <v>Not Done</v>
      </c>
      <c r="K155">
        <f t="shared" si="26"/>
        <v>90</v>
      </c>
      <c r="L155">
        <f t="shared" si="27"/>
        <v>0.9</v>
      </c>
      <c r="M155" s="9">
        <v>1</v>
      </c>
      <c r="N155" s="9">
        <f t="shared" si="28"/>
        <v>1000</v>
      </c>
      <c r="O155" s="9"/>
      <c r="P155" s="9" t="s">
        <v>72</v>
      </c>
      <c r="Q155" s="9">
        <v>5</v>
      </c>
      <c r="R155" s="9" t="s">
        <v>42</v>
      </c>
      <c r="S155" s="9">
        <v>0.01</v>
      </c>
      <c r="T155" s="9">
        <v>4.4999999999999998E-2</v>
      </c>
      <c r="U155" s="9">
        <v>0</v>
      </c>
      <c r="V155" s="9" t="s">
        <v>73</v>
      </c>
      <c r="W155" s="9">
        <v>50</v>
      </c>
    </row>
    <row r="156" spans="1:23" x14ac:dyDescent="0.3">
      <c r="A156" s="9">
        <v>6</v>
      </c>
      <c r="B156" s="10" t="s">
        <v>143</v>
      </c>
      <c r="C156" s="6" t="s">
        <v>58</v>
      </c>
      <c r="D156" s="14">
        <f t="shared" si="29"/>
        <v>178.2</v>
      </c>
      <c r="E156" s="17"/>
      <c r="F156" s="14">
        <f t="shared" si="30"/>
        <v>181.8</v>
      </c>
      <c r="G156" s="6" t="s">
        <v>54</v>
      </c>
      <c r="H156" s="6" t="str">
        <f t="shared" si="31"/>
        <v>Not Done</v>
      </c>
      <c r="K156">
        <f t="shared" si="26"/>
        <v>180</v>
      </c>
      <c r="L156">
        <f t="shared" si="27"/>
        <v>1.8</v>
      </c>
      <c r="M156" s="9">
        <v>1</v>
      </c>
      <c r="N156" s="9">
        <f t="shared" si="28"/>
        <v>1000</v>
      </c>
      <c r="O156" s="9"/>
      <c r="P156" s="9" t="s">
        <v>72</v>
      </c>
      <c r="Q156" s="9">
        <v>5</v>
      </c>
      <c r="R156" s="9" t="s">
        <v>42</v>
      </c>
      <c r="S156" s="9">
        <v>0.02</v>
      </c>
      <c r="T156" s="9">
        <v>0.09</v>
      </c>
      <c r="U156" s="9">
        <v>0</v>
      </c>
      <c r="V156" s="9" t="s">
        <v>73</v>
      </c>
      <c r="W156" s="9">
        <v>50</v>
      </c>
    </row>
    <row r="157" spans="1:23" x14ac:dyDescent="0.3">
      <c r="A157" s="9">
        <v>6</v>
      </c>
      <c r="B157" s="10" t="s">
        <v>143</v>
      </c>
      <c r="C157" s="6" t="s">
        <v>64</v>
      </c>
      <c r="D157" s="14">
        <f t="shared" si="29"/>
        <v>445.5</v>
      </c>
      <c r="E157" s="17"/>
      <c r="F157" s="14">
        <f t="shared" si="30"/>
        <v>454.5</v>
      </c>
      <c r="G157" s="6" t="s">
        <v>54</v>
      </c>
      <c r="H157" s="6" t="str">
        <f t="shared" si="31"/>
        <v>Not Done</v>
      </c>
      <c r="K157">
        <f t="shared" si="26"/>
        <v>450</v>
      </c>
      <c r="L157">
        <f t="shared" si="27"/>
        <v>4.5000000000000009</v>
      </c>
      <c r="M157" s="9">
        <v>1</v>
      </c>
      <c r="N157" s="9">
        <f t="shared" si="28"/>
        <v>1000</v>
      </c>
      <c r="O157" s="9"/>
      <c r="P157" s="9" t="s">
        <v>72</v>
      </c>
      <c r="Q157" s="9">
        <v>5</v>
      </c>
      <c r="R157" s="9" t="s">
        <v>42</v>
      </c>
      <c r="S157" s="9">
        <v>0.05</v>
      </c>
      <c r="T157" s="9">
        <v>0.22500000000000001</v>
      </c>
      <c r="U157" s="9">
        <v>0</v>
      </c>
      <c r="V157" s="9" t="s">
        <v>73</v>
      </c>
      <c r="W157" s="9">
        <v>50</v>
      </c>
    </row>
    <row r="158" spans="1:23" x14ac:dyDescent="0.3">
      <c r="A158" s="9">
        <v>6</v>
      </c>
      <c r="B158" s="10" t="s">
        <v>143</v>
      </c>
      <c r="C158" s="6" t="s">
        <v>59</v>
      </c>
      <c r="D158" s="14">
        <f t="shared" si="29"/>
        <v>891</v>
      </c>
      <c r="E158" s="17"/>
      <c r="F158" s="14">
        <f t="shared" si="30"/>
        <v>909</v>
      </c>
      <c r="G158" s="6" t="s">
        <v>54</v>
      </c>
      <c r="H158" s="6" t="str">
        <f t="shared" si="31"/>
        <v>Not Done</v>
      </c>
      <c r="K158">
        <f t="shared" si="26"/>
        <v>900</v>
      </c>
      <c r="L158">
        <f t="shared" si="27"/>
        <v>9.0000000000000018</v>
      </c>
      <c r="M158" s="9">
        <v>1</v>
      </c>
      <c r="N158" s="9">
        <f t="shared" si="28"/>
        <v>1000</v>
      </c>
      <c r="O158" s="9"/>
      <c r="P158" s="9" t="s">
        <v>72</v>
      </c>
      <c r="Q158" s="9">
        <v>5</v>
      </c>
      <c r="R158" s="9" t="s">
        <v>42</v>
      </c>
      <c r="S158" s="9">
        <v>0.1</v>
      </c>
      <c r="T158" s="9">
        <v>0.45</v>
      </c>
      <c r="U158" s="9">
        <v>0</v>
      </c>
      <c r="V158" s="9" t="s">
        <v>73</v>
      </c>
      <c r="W158" s="9">
        <v>50</v>
      </c>
    </row>
    <row r="159" spans="1:23" x14ac:dyDescent="0.3">
      <c r="A159" s="9">
        <v>6</v>
      </c>
      <c r="B159" s="10" t="s">
        <v>143</v>
      </c>
      <c r="C159" s="6" t="s">
        <v>65</v>
      </c>
      <c r="D159" s="7">
        <f t="shared" si="29"/>
        <v>1.782</v>
      </c>
      <c r="E159" s="8"/>
      <c r="F159" s="7">
        <f t="shared" si="30"/>
        <v>1.8180000000000001</v>
      </c>
      <c r="G159" s="6" t="s">
        <v>62</v>
      </c>
      <c r="H159" s="6" t="str">
        <f t="shared" si="31"/>
        <v>Not Done</v>
      </c>
      <c r="K159">
        <f t="shared" si="26"/>
        <v>1.8</v>
      </c>
      <c r="L159">
        <f t="shared" si="27"/>
        <v>1.8000000000000002E-2</v>
      </c>
      <c r="M159" s="9">
        <v>1</v>
      </c>
      <c r="N159" s="9">
        <f t="shared" si="28"/>
        <v>1</v>
      </c>
      <c r="O159" s="9"/>
      <c r="P159" s="9" t="s">
        <v>72</v>
      </c>
      <c r="Q159" s="9">
        <v>5</v>
      </c>
      <c r="R159" s="9" t="s">
        <v>42</v>
      </c>
      <c r="S159" s="9">
        <v>0.2</v>
      </c>
      <c r="T159" s="9">
        <v>0.9</v>
      </c>
      <c r="U159" s="9">
        <v>0</v>
      </c>
      <c r="V159" s="9" t="s">
        <v>73</v>
      </c>
      <c r="W159" s="9">
        <v>50</v>
      </c>
    </row>
    <row r="160" spans="1:23" x14ac:dyDescent="0.3">
      <c r="A160" s="9">
        <v>6</v>
      </c>
      <c r="B160" s="10" t="s">
        <v>143</v>
      </c>
      <c r="C160" s="6" t="s">
        <v>60</v>
      </c>
      <c r="D160" s="7">
        <f t="shared" si="29"/>
        <v>4.4550000000000001</v>
      </c>
      <c r="E160" s="8"/>
      <c r="F160" s="7">
        <f t="shared" si="30"/>
        <v>4.5449999999999999</v>
      </c>
      <c r="G160" s="6" t="s">
        <v>62</v>
      </c>
      <c r="H160" s="6" t="str">
        <f t="shared" si="31"/>
        <v>Not Done</v>
      </c>
      <c r="K160">
        <f t="shared" si="26"/>
        <v>4.5</v>
      </c>
      <c r="L160">
        <f t="shared" si="27"/>
        <v>4.4999999999999998E-2</v>
      </c>
      <c r="M160" s="9">
        <v>1</v>
      </c>
      <c r="N160" s="9">
        <f t="shared" si="28"/>
        <v>1</v>
      </c>
      <c r="O160" s="9"/>
      <c r="P160" s="9" t="s">
        <v>72</v>
      </c>
      <c r="Q160" s="9">
        <v>5</v>
      </c>
      <c r="R160" s="9" t="s">
        <v>42</v>
      </c>
      <c r="S160" s="9">
        <v>0.5</v>
      </c>
      <c r="T160" s="9">
        <v>2.25</v>
      </c>
      <c r="U160" s="9">
        <v>0</v>
      </c>
      <c r="V160" s="9" t="s">
        <v>73</v>
      </c>
      <c r="W160" s="9">
        <v>50</v>
      </c>
    </row>
    <row r="161" spans="1:23" x14ac:dyDescent="0.3">
      <c r="A161" s="9">
        <v>6</v>
      </c>
      <c r="B161" s="10" t="s">
        <v>143</v>
      </c>
      <c r="C161" s="6" t="s">
        <v>61</v>
      </c>
      <c r="D161" s="17">
        <f t="shared" si="29"/>
        <v>5.94</v>
      </c>
      <c r="E161" s="8"/>
      <c r="F161" s="17">
        <f t="shared" si="30"/>
        <v>6.06</v>
      </c>
      <c r="G161" s="6" t="s">
        <v>62</v>
      </c>
      <c r="H161" s="6" t="str">
        <f t="shared" si="31"/>
        <v>Not Done</v>
      </c>
      <c r="K161">
        <f t="shared" si="26"/>
        <v>6</v>
      </c>
      <c r="L161">
        <f t="shared" si="27"/>
        <v>0.06</v>
      </c>
      <c r="M161" s="9">
        <v>1</v>
      </c>
      <c r="N161" s="9">
        <f t="shared" si="28"/>
        <v>1</v>
      </c>
      <c r="O161" s="9"/>
      <c r="P161" s="9" t="s">
        <v>72</v>
      </c>
      <c r="Q161" s="9">
        <v>5</v>
      </c>
      <c r="R161" s="9" t="s">
        <v>42</v>
      </c>
      <c r="S161" s="9">
        <v>1</v>
      </c>
      <c r="T161" s="9">
        <v>3</v>
      </c>
      <c r="U161" s="9">
        <v>0</v>
      </c>
      <c r="V161" s="9" t="s">
        <v>73</v>
      </c>
      <c r="W161" s="9">
        <v>50</v>
      </c>
    </row>
    <row r="162" spans="1:23" x14ac:dyDescent="0.3">
      <c r="A162" s="9">
        <v>6</v>
      </c>
      <c r="B162" s="10" t="s">
        <v>144</v>
      </c>
      <c r="C162" s="6" t="s">
        <v>58</v>
      </c>
      <c r="D162" s="17">
        <f t="shared" ref="D162:D187" si="38">K162-L162</f>
        <v>178.2</v>
      </c>
      <c r="E162" s="7"/>
      <c r="F162" s="17">
        <f t="shared" ref="F162:F187" si="39">K162+L162</f>
        <v>181.8</v>
      </c>
      <c r="G162" s="6" t="s">
        <v>54</v>
      </c>
      <c r="H162" s="6" t="str">
        <f t="shared" ref="H162:H187" si="40">IF(ISBLANK(E162),"Not Done",IF(AND(E162&lt;=F162,E162&gt;=D162),"Pass","Fail"))</f>
        <v>Not Done</v>
      </c>
      <c r="K162">
        <f t="shared" si="26"/>
        <v>180</v>
      </c>
      <c r="L162">
        <f t="shared" si="27"/>
        <v>1.8</v>
      </c>
      <c r="M162" s="9">
        <v>1</v>
      </c>
      <c r="N162" s="9">
        <f t="shared" si="28"/>
        <v>1000</v>
      </c>
      <c r="O162" s="9"/>
      <c r="P162" s="9" t="s">
        <v>72</v>
      </c>
      <c r="Q162" s="9">
        <v>5</v>
      </c>
      <c r="R162" s="9" t="s">
        <v>42</v>
      </c>
      <c r="S162" s="9">
        <v>0.02</v>
      </c>
      <c r="T162" s="9">
        <v>0.09</v>
      </c>
      <c r="U162" s="9">
        <v>0</v>
      </c>
      <c r="V162" s="9" t="s">
        <v>75</v>
      </c>
      <c r="W162" s="9">
        <v>50</v>
      </c>
    </row>
    <row r="163" spans="1:23" x14ac:dyDescent="0.3">
      <c r="A163" s="9">
        <v>6</v>
      </c>
      <c r="B163" s="10" t="s">
        <v>145</v>
      </c>
      <c r="C163" s="6" t="s">
        <v>58</v>
      </c>
      <c r="D163" s="7">
        <f t="shared" si="38"/>
        <v>178.2</v>
      </c>
      <c r="E163" s="7"/>
      <c r="F163" s="7">
        <f t="shared" si="39"/>
        <v>181.8</v>
      </c>
      <c r="G163" s="6" t="s">
        <v>54</v>
      </c>
      <c r="H163" s="6" t="str">
        <f t="shared" si="40"/>
        <v>Not Done</v>
      </c>
      <c r="K163">
        <f t="shared" si="26"/>
        <v>180</v>
      </c>
      <c r="L163">
        <f t="shared" si="27"/>
        <v>1.8</v>
      </c>
      <c r="M163" s="9">
        <v>1</v>
      </c>
      <c r="N163" s="9">
        <f t="shared" si="28"/>
        <v>1000</v>
      </c>
      <c r="O163" s="9"/>
      <c r="P163" s="9" t="s">
        <v>72</v>
      </c>
      <c r="Q163" s="9">
        <v>5</v>
      </c>
      <c r="R163" s="9" t="s">
        <v>42</v>
      </c>
      <c r="S163" s="9">
        <v>0.02</v>
      </c>
      <c r="T163" s="9">
        <v>0.09</v>
      </c>
      <c r="U163" s="9">
        <v>0</v>
      </c>
      <c r="V163" s="9" t="s">
        <v>63</v>
      </c>
      <c r="W163" s="9">
        <v>50</v>
      </c>
    </row>
    <row r="164" spans="1:23" x14ac:dyDescent="0.3">
      <c r="A164" s="9">
        <v>6</v>
      </c>
      <c r="B164" s="10" t="s">
        <v>146</v>
      </c>
      <c r="C164" s="6" t="s">
        <v>53</v>
      </c>
      <c r="D164" s="7">
        <f t="shared" si="38"/>
        <v>8.82</v>
      </c>
      <c r="E164" s="7"/>
      <c r="F164" s="7">
        <f t="shared" si="39"/>
        <v>9.18</v>
      </c>
      <c r="G164" s="6" t="s">
        <v>54</v>
      </c>
      <c r="H164" s="6" t="str">
        <f t="shared" si="40"/>
        <v>Not Done</v>
      </c>
      <c r="K164">
        <f t="shared" si="26"/>
        <v>9</v>
      </c>
      <c r="L164">
        <f t="shared" si="27"/>
        <v>0.18</v>
      </c>
      <c r="M164" s="9">
        <v>2</v>
      </c>
      <c r="N164" s="9">
        <f t="shared" si="28"/>
        <v>1000</v>
      </c>
      <c r="O164" s="9"/>
      <c r="P164" s="9" t="s">
        <v>72</v>
      </c>
      <c r="Q164" s="9">
        <v>6</v>
      </c>
      <c r="R164" s="9" t="s">
        <v>42</v>
      </c>
      <c r="S164" s="9">
        <v>1E-3</v>
      </c>
      <c r="T164" s="9">
        <v>4.4999999999999997E-3</v>
      </c>
      <c r="U164" s="9">
        <v>0</v>
      </c>
      <c r="V164" s="9" t="s">
        <v>73</v>
      </c>
      <c r="W164" s="9" t="s">
        <v>43</v>
      </c>
    </row>
    <row r="165" spans="1:23" x14ac:dyDescent="0.3">
      <c r="A165" s="9">
        <v>6</v>
      </c>
      <c r="B165" s="10" t="s">
        <v>146</v>
      </c>
      <c r="C165" s="6" t="s">
        <v>55</v>
      </c>
      <c r="D165" s="7">
        <f t="shared" si="38"/>
        <v>17.82</v>
      </c>
      <c r="E165" s="7"/>
      <c r="F165" s="7">
        <f t="shared" si="39"/>
        <v>18.18</v>
      </c>
      <c r="G165" s="6" t="s">
        <v>54</v>
      </c>
      <c r="H165" s="6" t="str">
        <f t="shared" si="40"/>
        <v>Not Done</v>
      </c>
      <c r="K165">
        <f t="shared" si="26"/>
        <v>18</v>
      </c>
      <c r="L165">
        <f t="shared" si="27"/>
        <v>0.18</v>
      </c>
      <c r="M165" s="9">
        <v>1</v>
      </c>
      <c r="N165" s="9">
        <f t="shared" si="28"/>
        <v>1000</v>
      </c>
      <c r="O165" s="9"/>
      <c r="P165" s="9" t="s">
        <v>72</v>
      </c>
      <c r="Q165" s="9">
        <v>6</v>
      </c>
      <c r="R165" s="9" t="s">
        <v>42</v>
      </c>
      <c r="S165" s="9">
        <v>2E-3</v>
      </c>
      <c r="T165" s="9">
        <v>8.9999999999999993E-3</v>
      </c>
      <c r="U165" s="9">
        <v>0</v>
      </c>
      <c r="V165" s="9" t="s">
        <v>73</v>
      </c>
      <c r="W165" s="9" t="s">
        <v>43</v>
      </c>
    </row>
    <row r="166" spans="1:23" x14ac:dyDescent="0.3">
      <c r="A166" s="9">
        <v>6</v>
      </c>
      <c r="B166" s="10" t="s">
        <v>146</v>
      </c>
      <c r="C166" s="6" t="s">
        <v>56</v>
      </c>
      <c r="D166" s="17">
        <f t="shared" si="38"/>
        <v>44.55</v>
      </c>
      <c r="E166" s="7"/>
      <c r="F166" s="17">
        <f t="shared" si="39"/>
        <v>45.45</v>
      </c>
      <c r="G166" s="6" t="s">
        <v>54</v>
      </c>
      <c r="H166" s="6" t="str">
        <f t="shared" si="40"/>
        <v>Not Done</v>
      </c>
      <c r="K166">
        <f t="shared" si="26"/>
        <v>45</v>
      </c>
      <c r="L166">
        <f t="shared" si="27"/>
        <v>0.45</v>
      </c>
      <c r="M166" s="9">
        <v>1</v>
      </c>
      <c r="N166" s="9">
        <f t="shared" si="28"/>
        <v>1000</v>
      </c>
      <c r="O166" s="9"/>
      <c r="P166" s="9" t="s">
        <v>72</v>
      </c>
      <c r="Q166" s="9">
        <v>6</v>
      </c>
      <c r="R166" s="9" t="s">
        <v>42</v>
      </c>
      <c r="S166" s="9">
        <v>5.0000000000000001E-3</v>
      </c>
      <c r="T166" s="9">
        <v>2.2499999999999999E-2</v>
      </c>
      <c r="U166" s="9">
        <v>0</v>
      </c>
      <c r="V166" s="9" t="s">
        <v>73</v>
      </c>
      <c r="W166" s="9" t="s">
        <v>43</v>
      </c>
    </row>
    <row r="167" spans="1:23" x14ac:dyDescent="0.3">
      <c r="A167" s="9">
        <v>6</v>
      </c>
      <c r="B167" s="10" t="s">
        <v>146</v>
      </c>
      <c r="C167" s="6" t="s">
        <v>57</v>
      </c>
      <c r="D167" s="17">
        <f t="shared" si="38"/>
        <v>89.1</v>
      </c>
      <c r="E167" s="7"/>
      <c r="F167" s="17">
        <f t="shared" si="39"/>
        <v>90.9</v>
      </c>
      <c r="G167" s="6" t="s">
        <v>54</v>
      </c>
      <c r="H167" s="6" t="str">
        <f t="shared" si="40"/>
        <v>Not Done</v>
      </c>
      <c r="K167">
        <f t="shared" si="26"/>
        <v>90</v>
      </c>
      <c r="L167">
        <f t="shared" si="27"/>
        <v>0.9</v>
      </c>
      <c r="M167" s="9">
        <v>1</v>
      </c>
      <c r="N167" s="9">
        <f t="shared" si="28"/>
        <v>1000</v>
      </c>
      <c r="O167" s="9"/>
      <c r="P167" s="9" t="s">
        <v>72</v>
      </c>
      <c r="Q167" s="9">
        <v>6</v>
      </c>
      <c r="R167" s="9" t="s">
        <v>42</v>
      </c>
      <c r="S167" s="9">
        <v>0.01</v>
      </c>
      <c r="T167" s="9">
        <v>4.4999999999999998E-2</v>
      </c>
      <c r="U167" s="9">
        <v>0</v>
      </c>
      <c r="V167" s="9" t="s">
        <v>73</v>
      </c>
      <c r="W167" s="9" t="s">
        <v>43</v>
      </c>
    </row>
    <row r="168" spans="1:23" x14ac:dyDescent="0.3">
      <c r="A168" s="9">
        <v>6</v>
      </c>
      <c r="B168" s="10" t="s">
        <v>146</v>
      </c>
      <c r="C168" s="6" t="s">
        <v>58</v>
      </c>
      <c r="D168" s="17">
        <f t="shared" si="38"/>
        <v>178.2</v>
      </c>
      <c r="E168" s="17"/>
      <c r="F168" s="17">
        <f t="shared" si="39"/>
        <v>181.8</v>
      </c>
      <c r="G168" s="6" t="s">
        <v>54</v>
      </c>
      <c r="H168" s="6" t="str">
        <f t="shared" si="40"/>
        <v>Not Done</v>
      </c>
      <c r="K168">
        <f t="shared" si="26"/>
        <v>180</v>
      </c>
      <c r="L168">
        <f t="shared" si="27"/>
        <v>1.8</v>
      </c>
      <c r="M168" s="9">
        <v>1</v>
      </c>
      <c r="N168" s="9">
        <f t="shared" si="28"/>
        <v>1000</v>
      </c>
      <c r="O168" s="9"/>
      <c r="P168" s="9" t="s">
        <v>72</v>
      </c>
      <c r="Q168" s="9">
        <v>6</v>
      </c>
      <c r="R168" s="9" t="s">
        <v>42</v>
      </c>
      <c r="S168" s="9">
        <v>0.02</v>
      </c>
      <c r="T168" s="9">
        <v>0.09</v>
      </c>
      <c r="U168" s="9">
        <v>0</v>
      </c>
      <c r="V168" s="9" t="s">
        <v>73</v>
      </c>
      <c r="W168" s="9" t="s">
        <v>43</v>
      </c>
    </row>
    <row r="169" spans="1:23" x14ac:dyDescent="0.3">
      <c r="A169" s="9">
        <v>6</v>
      </c>
      <c r="B169" s="10" t="s">
        <v>146</v>
      </c>
      <c r="C169" s="6" t="s">
        <v>64</v>
      </c>
      <c r="D169" s="14">
        <f t="shared" si="38"/>
        <v>445.5</v>
      </c>
      <c r="E169" s="17"/>
      <c r="F169" s="14">
        <f t="shared" si="39"/>
        <v>454.5</v>
      </c>
      <c r="G169" s="6" t="s">
        <v>54</v>
      </c>
      <c r="H169" s="6" t="str">
        <f t="shared" si="40"/>
        <v>Not Done</v>
      </c>
      <c r="K169">
        <f t="shared" si="26"/>
        <v>450</v>
      </c>
      <c r="L169">
        <f t="shared" si="27"/>
        <v>4.5000000000000009</v>
      </c>
      <c r="M169" s="9">
        <v>1</v>
      </c>
      <c r="N169" s="9">
        <f t="shared" si="28"/>
        <v>1000</v>
      </c>
      <c r="O169" s="9"/>
      <c r="P169" s="9" t="s">
        <v>72</v>
      </c>
      <c r="Q169" s="9">
        <v>6</v>
      </c>
      <c r="R169" s="9" t="s">
        <v>42</v>
      </c>
      <c r="S169" s="9">
        <v>0.05</v>
      </c>
      <c r="T169" s="9">
        <v>0.22500000000000001</v>
      </c>
      <c r="U169" s="9">
        <v>0</v>
      </c>
      <c r="V169" s="9" t="s">
        <v>73</v>
      </c>
      <c r="W169" s="9" t="s">
        <v>43</v>
      </c>
    </row>
    <row r="170" spans="1:23" x14ac:dyDescent="0.3">
      <c r="A170" s="9">
        <v>6</v>
      </c>
      <c r="B170" s="10" t="s">
        <v>146</v>
      </c>
      <c r="C170" s="6" t="s">
        <v>59</v>
      </c>
      <c r="D170" s="14">
        <f t="shared" si="38"/>
        <v>891</v>
      </c>
      <c r="E170" s="17"/>
      <c r="F170" s="14">
        <f t="shared" si="39"/>
        <v>909</v>
      </c>
      <c r="G170" s="6" t="s">
        <v>54</v>
      </c>
      <c r="H170" s="6" t="str">
        <f t="shared" si="40"/>
        <v>Not Done</v>
      </c>
      <c r="K170">
        <f t="shared" si="26"/>
        <v>900</v>
      </c>
      <c r="L170">
        <f t="shared" si="27"/>
        <v>9.0000000000000018</v>
      </c>
      <c r="M170" s="9">
        <v>1</v>
      </c>
      <c r="N170" s="9">
        <f t="shared" si="28"/>
        <v>1000</v>
      </c>
      <c r="O170" s="9"/>
      <c r="P170" s="9" t="s">
        <v>72</v>
      </c>
      <c r="Q170" s="9">
        <v>6</v>
      </c>
      <c r="R170" s="9" t="s">
        <v>42</v>
      </c>
      <c r="S170" s="9">
        <v>0.1</v>
      </c>
      <c r="T170" s="9">
        <v>0.45</v>
      </c>
      <c r="U170" s="9">
        <v>0</v>
      </c>
      <c r="V170" s="9" t="s">
        <v>73</v>
      </c>
      <c r="W170" s="9" t="s">
        <v>43</v>
      </c>
    </row>
    <row r="171" spans="1:23" x14ac:dyDescent="0.3">
      <c r="A171" s="9">
        <v>6</v>
      </c>
      <c r="B171" s="10" t="s">
        <v>146</v>
      </c>
      <c r="C171" s="6" t="s">
        <v>65</v>
      </c>
      <c r="D171" s="8">
        <f t="shared" si="38"/>
        <v>1.782</v>
      </c>
      <c r="E171" s="8"/>
      <c r="F171" s="8">
        <f t="shared" si="39"/>
        <v>1.8180000000000001</v>
      </c>
      <c r="G171" s="6" t="s">
        <v>62</v>
      </c>
      <c r="H171" s="6" t="str">
        <f t="shared" si="40"/>
        <v>Not Done</v>
      </c>
      <c r="K171">
        <f t="shared" si="26"/>
        <v>1.8</v>
      </c>
      <c r="L171">
        <f t="shared" si="27"/>
        <v>1.8000000000000002E-2</v>
      </c>
      <c r="M171" s="9">
        <v>1</v>
      </c>
      <c r="N171" s="9">
        <f t="shared" si="28"/>
        <v>1</v>
      </c>
      <c r="O171" s="9"/>
      <c r="P171" s="9" t="s">
        <v>72</v>
      </c>
      <c r="Q171" s="9">
        <v>6</v>
      </c>
      <c r="R171" s="9" t="s">
        <v>42</v>
      </c>
      <c r="S171" s="9">
        <v>0.2</v>
      </c>
      <c r="T171" s="9">
        <v>0.9</v>
      </c>
      <c r="U171" s="9">
        <v>0</v>
      </c>
      <c r="V171" s="9" t="s">
        <v>73</v>
      </c>
      <c r="W171" s="9" t="s">
        <v>43</v>
      </c>
    </row>
    <row r="172" spans="1:23" x14ac:dyDescent="0.3">
      <c r="A172" s="9">
        <v>6</v>
      </c>
      <c r="B172" s="10" t="s">
        <v>146</v>
      </c>
      <c r="C172" s="6" t="s">
        <v>60</v>
      </c>
      <c r="D172" s="7">
        <f t="shared" si="38"/>
        <v>4.4550000000000001</v>
      </c>
      <c r="E172" s="8"/>
      <c r="F172" s="7">
        <f t="shared" si="39"/>
        <v>4.5449999999999999</v>
      </c>
      <c r="G172" s="6" t="s">
        <v>62</v>
      </c>
      <c r="H172" s="6" t="str">
        <f t="shared" si="40"/>
        <v>Not Done</v>
      </c>
      <c r="K172">
        <f t="shared" si="26"/>
        <v>4.5</v>
      </c>
      <c r="L172">
        <f t="shared" si="27"/>
        <v>4.4999999999999998E-2</v>
      </c>
      <c r="M172" s="9">
        <v>1</v>
      </c>
      <c r="N172" s="9">
        <f t="shared" si="28"/>
        <v>1</v>
      </c>
      <c r="O172" s="9"/>
      <c r="P172" s="9" t="s">
        <v>72</v>
      </c>
      <c r="Q172" s="9">
        <v>6</v>
      </c>
      <c r="R172" s="9" t="s">
        <v>42</v>
      </c>
      <c r="S172" s="9">
        <v>0.5</v>
      </c>
      <c r="T172" s="9">
        <v>2.25</v>
      </c>
      <c r="U172" s="9">
        <v>0</v>
      </c>
      <c r="V172" s="9" t="s">
        <v>73</v>
      </c>
      <c r="W172" s="9" t="s">
        <v>43</v>
      </c>
    </row>
    <row r="173" spans="1:23" x14ac:dyDescent="0.3">
      <c r="A173" s="9">
        <v>6</v>
      </c>
      <c r="B173" s="10" t="s">
        <v>146</v>
      </c>
      <c r="C173" s="6" t="s">
        <v>61</v>
      </c>
      <c r="D173" s="7">
        <f t="shared" si="38"/>
        <v>8.91</v>
      </c>
      <c r="E173" s="8"/>
      <c r="F173" s="7">
        <f t="shared" si="39"/>
        <v>9.09</v>
      </c>
      <c r="G173" s="6" t="s">
        <v>62</v>
      </c>
      <c r="H173" s="6" t="str">
        <f t="shared" si="40"/>
        <v>Not Done</v>
      </c>
      <c r="K173">
        <f t="shared" ref="K173:K187" si="41">2*T173*N173</f>
        <v>9</v>
      </c>
      <c r="L173">
        <f t="shared" ref="L173:L187" si="42">M173%*T173*2*N173</f>
        <v>0.09</v>
      </c>
      <c r="M173" s="9">
        <v>1</v>
      </c>
      <c r="N173" s="9">
        <f t="shared" ref="N173:N187" si="43">IF(G173="mV",1000,1)</f>
        <v>1</v>
      </c>
      <c r="O173" s="9"/>
      <c r="P173" s="9" t="s">
        <v>72</v>
      </c>
      <c r="Q173" s="9">
        <v>6</v>
      </c>
      <c r="R173" s="9" t="s">
        <v>42</v>
      </c>
      <c r="S173" s="9">
        <v>1</v>
      </c>
      <c r="T173" s="9">
        <v>4.5</v>
      </c>
      <c r="U173" s="9">
        <v>0</v>
      </c>
      <c r="V173" s="9" t="s">
        <v>73</v>
      </c>
      <c r="W173" s="9" t="s">
        <v>43</v>
      </c>
    </row>
    <row r="174" spans="1:23" x14ac:dyDescent="0.3">
      <c r="A174" s="9">
        <v>6</v>
      </c>
      <c r="B174" s="10" t="s">
        <v>147</v>
      </c>
      <c r="C174" s="6" t="s">
        <v>58</v>
      </c>
      <c r="D174" s="17">
        <f t="shared" si="38"/>
        <v>178.2</v>
      </c>
      <c r="E174" s="17"/>
      <c r="F174" s="17">
        <f t="shared" si="39"/>
        <v>181.8</v>
      </c>
      <c r="G174" s="6" t="s">
        <v>54</v>
      </c>
      <c r="H174" s="6" t="str">
        <f t="shared" si="40"/>
        <v>Not Done</v>
      </c>
      <c r="K174">
        <f t="shared" si="41"/>
        <v>180</v>
      </c>
      <c r="L174">
        <f t="shared" si="42"/>
        <v>1.8</v>
      </c>
      <c r="M174" s="9">
        <v>1</v>
      </c>
      <c r="N174" s="9">
        <f t="shared" si="43"/>
        <v>1000</v>
      </c>
      <c r="O174" s="9"/>
      <c r="P174" s="9" t="s">
        <v>72</v>
      </c>
      <c r="Q174" s="9">
        <v>6</v>
      </c>
      <c r="R174" s="9" t="s">
        <v>42</v>
      </c>
      <c r="S174" s="9">
        <v>0.02</v>
      </c>
      <c r="T174" s="9">
        <v>0.09</v>
      </c>
      <c r="U174" s="9">
        <v>0</v>
      </c>
      <c r="V174" s="9" t="s">
        <v>75</v>
      </c>
      <c r="W174" s="9" t="s">
        <v>43</v>
      </c>
    </row>
    <row r="175" spans="1:23" x14ac:dyDescent="0.3">
      <c r="A175" s="9">
        <v>6</v>
      </c>
      <c r="B175" s="10" t="s">
        <v>148</v>
      </c>
      <c r="C175" s="6" t="s">
        <v>58</v>
      </c>
      <c r="D175" s="17">
        <f t="shared" si="38"/>
        <v>178.2</v>
      </c>
      <c r="E175" s="17"/>
      <c r="F175" s="17">
        <f t="shared" si="39"/>
        <v>181.8</v>
      </c>
      <c r="G175" s="6" t="s">
        <v>54</v>
      </c>
      <c r="H175" s="6" t="str">
        <f t="shared" si="40"/>
        <v>Not Done</v>
      </c>
      <c r="K175">
        <f t="shared" si="41"/>
        <v>180</v>
      </c>
      <c r="L175">
        <f t="shared" si="42"/>
        <v>1.8</v>
      </c>
      <c r="M175" s="9">
        <v>1</v>
      </c>
      <c r="N175" s="9">
        <f t="shared" si="43"/>
        <v>1000</v>
      </c>
      <c r="O175" s="9"/>
      <c r="P175" s="9" t="s">
        <v>72</v>
      </c>
      <c r="Q175" s="9">
        <v>6</v>
      </c>
      <c r="R175" s="9" t="s">
        <v>42</v>
      </c>
      <c r="S175" s="9">
        <v>0.02</v>
      </c>
      <c r="T175" s="9">
        <v>0.09</v>
      </c>
      <c r="U175" s="9">
        <v>0</v>
      </c>
      <c r="V175" s="9" t="s">
        <v>63</v>
      </c>
      <c r="W175" s="9" t="s">
        <v>43</v>
      </c>
    </row>
    <row r="176" spans="1:23" x14ac:dyDescent="0.3">
      <c r="A176" s="9">
        <v>6</v>
      </c>
      <c r="B176" s="10" t="s">
        <v>149</v>
      </c>
      <c r="C176" s="6" t="s">
        <v>53</v>
      </c>
      <c r="D176" s="7">
        <f t="shared" si="38"/>
        <v>8.7750000000000004</v>
      </c>
      <c r="E176" s="7"/>
      <c r="F176" s="7">
        <f t="shared" si="39"/>
        <v>9.2249999999999996</v>
      </c>
      <c r="G176" s="6" t="s">
        <v>54</v>
      </c>
      <c r="H176" s="6" t="str">
        <f t="shared" si="40"/>
        <v>Not Done</v>
      </c>
      <c r="K176">
        <f t="shared" si="41"/>
        <v>9</v>
      </c>
      <c r="L176">
        <f t="shared" si="42"/>
        <v>0.22500000000000001</v>
      </c>
      <c r="M176" s="9">
        <v>2.5</v>
      </c>
      <c r="N176" s="9">
        <f t="shared" si="43"/>
        <v>1000</v>
      </c>
      <c r="O176" s="9"/>
      <c r="P176" s="9" t="s">
        <v>72</v>
      </c>
      <c r="Q176" s="9">
        <v>6</v>
      </c>
      <c r="R176" s="9" t="s">
        <v>42</v>
      </c>
      <c r="S176" s="9">
        <v>1E-3</v>
      </c>
      <c r="T176" s="9">
        <v>4.4999999999999997E-3</v>
      </c>
      <c r="U176" s="9">
        <v>0</v>
      </c>
      <c r="V176" s="9" t="s">
        <v>73</v>
      </c>
      <c r="W176" s="9">
        <v>50</v>
      </c>
    </row>
    <row r="177" spans="1:23" x14ac:dyDescent="0.3">
      <c r="A177" s="9">
        <v>6</v>
      </c>
      <c r="B177" s="10" t="s">
        <v>149</v>
      </c>
      <c r="C177" s="6" t="s">
        <v>55</v>
      </c>
      <c r="D177" s="7">
        <f t="shared" si="38"/>
        <v>17.82</v>
      </c>
      <c r="E177" s="7"/>
      <c r="F177" s="7">
        <f t="shared" si="39"/>
        <v>18.18</v>
      </c>
      <c r="G177" s="6" t="s">
        <v>54</v>
      </c>
      <c r="H177" s="6" t="str">
        <f t="shared" si="40"/>
        <v>Not Done</v>
      </c>
      <c r="K177">
        <f t="shared" si="41"/>
        <v>18</v>
      </c>
      <c r="L177">
        <f t="shared" si="42"/>
        <v>0.18</v>
      </c>
      <c r="M177" s="9">
        <v>1</v>
      </c>
      <c r="N177" s="9">
        <f t="shared" si="43"/>
        <v>1000</v>
      </c>
      <c r="O177" s="9"/>
      <c r="P177" s="9" t="s">
        <v>72</v>
      </c>
      <c r="Q177" s="9">
        <v>6</v>
      </c>
      <c r="R177" s="9" t="s">
        <v>42</v>
      </c>
      <c r="S177" s="9">
        <v>2E-3</v>
      </c>
      <c r="T177" s="9">
        <v>8.9999999999999993E-3</v>
      </c>
      <c r="U177" s="9">
        <v>0</v>
      </c>
      <c r="V177" s="9" t="s">
        <v>73</v>
      </c>
      <c r="W177" s="9">
        <v>50</v>
      </c>
    </row>
    <row r="178" spans="1:23" x14ac:dyDescent="0.3">
      <c r="A178" s="9">
        <v>6</v>
      </c>
      <c r="B178" s="10" t="s">
        <v>149</v>
      </c>
      <c r="C178" s="6" t="s">
        <v>56</v>
      </c>
      <c r="D178" s="17">
        <f t="shared" si="38"/>
        <v>44.55</v>
      </c>
      <c r="E178" s="7"/>
      <c r="F178" s="17">
        <f t="shared" si="39"/>
        <v>45.45</v>
      </c>
      <c r="G178" s="6" t="s">
        <v>54</v>
      </c>
      <c r="H178" s="6" t="str">
        <f t="shared" si="40"/>
        <v>Not Done</v>
      </c>
      <c r="K178">
        <f t="shared" si="41"/>
        <v>45</v>
      </c>
      <c r="L178">
        <f t="shared" si="42"/>
        <v>0.45</v>
      </c>
      <c r="M178" s="9">
        <v>1</v>
      </c>
      <c r="N178" s="9">
        <f t="shared" si="43"/>
        <v>1000</v>
      </c>
      <c r="O178" s="9"/>
      <c r="P178" s="9" t="s">
        <v>72</v>
      </c>
      <c r="Q178" s="9">
        <v>6</v>
      </c>
      <c r="R178" s="9" t="s">
        <v>42</v>
      </c>
      <c r="S178" s="9">
        <v>5.0000000000000001E-3</v>
      </c>
      <c r="T178" s="9">
        <v>2.2499999999999999E-2</v>
      </c>
      <c r="U178" s="9">
        <v>0</v>
      </c>
      <c r="V178" s="9" t="s">
        <v>73</v>
      </c>
      <c r="W178" s="9">
        <v>50</v>
      </c>
    </row>
    <row r="179" spans="1:23" x14ac:dyDescent="0.3">
      <c r="A179" s="9">
        <v>6</v>
      </c>
      <c r="B179" s="10" t="s">
        <v>149</v>
      </c>
      <c r="C179" s="6" t="s">
        <v>57</v>
      </c>
      <c r="D179" s="17">
        <f t="shared" si="38"/>
        <v>89.1</v>
      </c>
      <c r="E179" s="7"/>
      <c r="F179" s="17">
        <f t="shared" si="39"/>
        <v>90.9</v>
      </c>
      <c r="G179" s="6" t="s">
        <v>54</v>
      </c>
      <c r="H179" s="6" t="str">
        <f t="shared" si="40"/>
        <v>Not Done</v>
      </c>
      <c r="K179">
        <f t="shared" si="41"/>
        <v>90</v>
      </c>
      <c r="L179">
        <f t="shared" si="42"/>
        <v>0.9</v>
      </c>
      <c r="M179" s="9">
        <v>1</v>
      </c>
      <c r="N179" s="9">
        <f t="shared" si="43"/>
        <v>1000</v>
      </c>
      <c r="O179" s="9"/>
      <c r="P179" s="9" t="s">
        <v>72</v>
      </c>
      <c r="Q179" s="9">
        <v>6</v>
      </c>
      <c r="R179" s="9" t="s">
        <v>42</v>
      </c>
      <c r="S179" s="9">
        <v>0.01</v>
      </c>
      <c r="T179" s="9">
        <v>4.4999999999999998E-2</v>
      </c>
      <c r="U179" s="9">
        <v>0</v>
      </c>
      <c r="V179" s="9" t="s">
        <v>73</v>
      </c>
      <c r="W179" s="9">
        <v>50</v>
      </c>
    </row>
    <row r="180" spans="1:23" x14ac:dyDescent="0.3">
      <c r="A180" s="9">
        <v>6</v>
      </c>
      <c r="B180" s="10" t="s">
        <v>149</v>
      </c>
      <c r="C180" s="6" t="s">
        <v>58</v>
      </c>
      <c r="D180" s="17">
        <f t="shared" si="38"/>
        <v>178.2</v>
      </c>
      <c r="E180" s="17"/>
      <c r="F180" s="17">
        <f t="shared" si="39"/>
        <v>181.8</v>
      </c>
      <c r="G180" s="6" t="s">
        <v>54</v>
      </c>
      <c r="H180" s="6" t="str">
        <f t="shared" si="40"/>
        <v>Not Done</v>
      </c>
      <c r="K180">
        <f t="shared" si="41"/>
        <v>180</v>
      </c>
      <c r="L180">
        <f t="shared" si="42"/>
        <v>1.8</v>
      </c>
      <c r="M180" s="9">
        <v>1</v>
      </c>
      <c r="N180" s="9">
        <f t="shared" si="43"/>
        <v>1000</v>
      </c>
      <c r="O180" s="9"/>
      <c r="P180" s="9" t="s">
        <v>72</v>
      </c>
      <c r="Q180" s="9">
        <v>6</v>
      </c>
      <c r="R180" s="9" t="s">
        <v>42</v>
      </c>
      <c r="S180" s="9">
        <v>0.02</v>
      </c>
      <c r="T180" s="9">
        <v>0.09</v>
      </c>
      <c r="U180" s="9">
        <v>0</v>
      </c>
      <c r="V180" s="9" t="s">
        <v>73</v>
      </c>
      <c r="W180" s="9">
        <v>50</v>
      </c>
    </row>
    <row r="181" spans="1:23" x14ac:dyDescent="0.3">
      <c r="A181" s="9">
        <v>6</v>
      </c>
      <c r="B181" s="10" t="s">
        <v>149</v>
      </c>
      <c r="C181" s="6" t="s">
        <v>64</v>
      </c>
      <c r="D181" s="14">
        <f t="shared" si="38"/>
        <v>445.5</v>
      </c>
      <c r="E181" s="17"/>
      <c r="F181" s="14">
        <f t="shared" si="39"/>
        <v>454.5</v>
      </c>
      <c r="G181" s="6" t="s">
        <v>54</v>
      </c>
      <c r="H181" s="6" t="str">
        <f t="shared" si="40"/>
        <v>Not Done</v>
      </c>
      <c r="K181">
        <f t="shared" si="41"/>
        <v>450</v>
      </c>
      <c r="L181">
        <f t="shared" si="42"/>
        <v>4.5000000000000009</v>
      </c>
      <c r="M181" s="9">
        <v>1</v>
      </c>
      <c r="N181" s="9">
        <f t="shared" si="43"/>
        <v>1000</v>
      </c>
      <c r="O181" s="9"/>
      <c r="P181" s="9" t="s">
        <v>72</v>
      </c>
      <c r="Q181" s="9">
        <v>6</v>
      </c>
      <c r="R181" s="9" t="s">
        <v>42</v>
      </c>
      <c r="S181" s="9">
        <v>0.05</v>
      </c>
      <c r="T181" s="9">
        <v>0.22500000000000001</v>
      </c>
      <c r="U181" s="9">
        <v>0</v>
      </c>
      <c r="V181" s="9" t="s">
        <v>73</v>
      </c>
      <c r="W181" s="9">
        <v>50</v>
      </c>
    </row>
    <row r="182" spans="1:23" x14ac:dyDescent="0.3">
      <c r="A182" s="9">
        <v>6</v>
      </c>
      <c r="B182" s="10" t="s">
        <v>149</v>
      </c>
      <c r="C182" s="6" t="s">
        <v>59</v>
      </c>
      <c r="D182" s="14">
        <f t="shared" si="38"/>
        <v>891</v>
      </c>
      <c r="E182" s="17"/>
      <c r="F182" s="14">
        <f t="shared" si="39"/>
        <v>909</v>
      </c>
      <c r="G182" s="6" t="s">
        <v>54</v>
      </c>
      <c r="H182" s="6" t="str">
        <f t="shared" si="40"/>
        <v>Not Done</v>
      </c>
      <c r="K182">
        <f t="shared" si="41"/>
        <v>900</v>
      </c>
      <c r="L182">
        <f t="shared" si="42"/>
        <v>9.0000000000000018</v>
      </c>
      <c r="M182" s="9">
        <v>1</v>
      </c>
      <c r="N182" s="9">
        <f t="shared" si="43"/>
        <v>1000</v>
      </c>
      <c r="O182" s="9"/>
      <c r="P182" s="9" t="s">
        <v>72</v>
      </c>
      <c r="Q182" s="9">
        <v>6</v>
      </c>
      <c r="R182" s="9" t="s">
        <v>42</v>
      </c>
      <c r="S182" s="9">
        <v>0.1</v>
      </c>
      <c r="T182" s="9">
        <v>0.45</v>
      </c>
      <c r="U182" s="9">
        <v>0</v>
      </c>
      <c r="V182" s="9" t="s">
        <v>73</v>
      </c>
      <c r="W182" s="9">
        <v>50</v>
      </c>
    </row>
    <row r="183" spans="1:23" x14ac:dyDescent="0.3">
      <c r="A183" s="9">
        <v>6</v>
      </c>
      <c r="B183" s="10" t="s">
        <v>149</v>
      </c>
      <c r="C183" s="6" t="s">
        <v>65</v>
      </c>
      <c r="D183" s="8">
        <f t="shared" si="38"/>
        <v>1.782</v>
      </c>
      <c r="E183" s="8"/>
      <c r="F183" s="8">
        <f t="shared" si="39"/>
        <v>1.8180000000000001</v>
      </c>
      <c r="G183" s="6" t="s">
        <v>62</v>
      </c>
      <c r="H183" s="6" t="str">
        <f t="shared" si="40"/>
        <v>Not Done</v>
      </c>
      <c r="K183">
        <f t="shared" si="41"/>
        <v>1.8</v>
      </c>
      <c r="L183">
        <f t="shared" si="42"/>
        <v>1.8000000000000002E-2</v>
      </c>
      <c r="M183" s="9">
        <v>1</v>
      </c>
      <c r="N183" s="9">
        <f t="shared" si="43"/>
        <v>1</v>
      </c>
      <c r="O183" s="9"/>
      <c r="P183" s="9" t="s">
        <v>72</v>
      </c>
      <c r="Q183" s="9">
        <v>6</v>
      </c>
      <c r="R183" s="9" t="s">
        <v>42</v>
      </c>
      <c r="S183" s="9">
        <v>0.2</v>
      </c>
      <c r="T183" s="9">
        <v>0.9</v>
      </c>
      <c r="U183" s="9">
        <v>0</v>
      </c>
      <c r="V183" s="9" t="s">
        <v>73</v>
      </c>
      <c r="W183" s="9">
        <v>50</v>
      </c>
    </row>
    <row r="184" spans="1:23" x14ac:dyDescent="0.3">
      <c r="A184" s="9">
        <v>6</v>
      </c>
      <c r="B184" s="10" t="s">
        <v>149</v>
      </c>
      <c r="C184" s="6" t="s">
        <v>60</v>
      </c>
      <c r="D184" s="7">
        <f t="shared" si="38"/>
        <v>4.4550000000000001</v>
      </c>
      <c r="E184" s="8"/>
      <c r="F184" s="7">
        <f t="shared" si="39"/>
        <v>4.5449999999999999</v>
      </c>
      <c r="G184" s="6" t="s">
        <v>62</v>
      </c>
      <c r="H184" s="6" t="str">
        <f t="shared" si="40"/>
        <v>Not Done</v>
      </c>
      <c r="K184">
        <f t="shared" si="41"/>
        <v>4.5</v>
      </c>
      <c r="L184">
        <f t="shared" si="42"/>
        <v>4.4999999999999998E-2</v>
      </c>
      <c r="M184" s="9">
        <v>1</v>
      </c>
      <c r="N184" s="9">
        <f t="shared" si="43"/>
        <v>1</v>
      </c>
      <c r="O184" s="9"/>
      <c r="P184" s="9" t="s">
        <v>72</v>
      </c>
      <c r="Q184" s="9">
        <v>6</v>
      </c>
      <c r="R184" s="9" t="s">
        <v>42</v>
      </c>
      <c r="S184" s="9">
        <v>0.5</v>
      </c>
      <c r="T184" s="9">
        <v>2.25</v>
      </c>
      <c r="U184" s="9">
        <v>0</v>
      </c>
      <c r="V184" s="9" t="s">
        <v>73</v>
      </c>
      <c r="W184" s="9">
        <v>50</v>
      </c>
    </row>
    <row r="185" spans="1:23" x14ac:dyDescent="0.3">
      <c r="A185" s="9">
        <v>6</v>
      </c>
      <c r="B185" s="10" t="s">
        <v>149</v>
      </c>
      <c r="C185" s="6" t="s">
        <v>61</v>
      </c>
      <c r="D185" s="7">
        <f t="shared" si="38"/>
        <v>5.94</v>
      </c>
      <c r="E185" s="8"/>
      <c r="F185" s="7">
        <f t="shared" si="39"/>
        <v>6.06</v>
      </c>
      <c r="G185" s="6" t="s">
        <v>62</v>
      </c>
      <c r="H185" s="6" t="str">
        <f t="shared" si="40"/>
        <v>Not Done</v>
      </c>
      <c r="K185">
        <f t="shared" si="41"/>
        <v>6</v>
      </c>
      <c r="L185">
        <f t="shared" si="42"/>
        <v>0.06</v>
      </c>
      <c r="M185" s="9">
        <v>1</v>
      </c>
      <c r="N185" s="9">
        <f t="shared" si="43"/>
        <v>1</v>
      </c>
      <c r="O185" s="9"/>
      <c r="P185" s="9" t="s">
        <v>72</v>
      </c>
      <c r="Q185" s="9">
        <v>6</v>
      </c>
      <c r="R185" s="9" t="s">
        <v>42</v>
      </c>
      <c r="S185" s="9">
        <v>1</v>
      </c>
      <c r="T185" s="9">
        <v>3</v>
      </c>
      <c r="U185" s="9">
        <v>0</v>
      </c>
      <c r="V185" s="9" t="s">
        <v>73</v>
      </c>
      <c r="W185" s="9">
        <v>50</v>
      </c>
    </row>
    <row r="186" spans="1:23" x14ac:dyDescent="0.3">
      <c r="A186" s="9">
        <v>6</v>
      </c>
      <c r="B186" s="10" t="s">
        <v>150</v>
      </c>
      <c r="C186" s="6" t="s">
        <v>58</v>
      </c>
      <c r="D186" s="17">
        <f t="shared" si="38"/>
        <v>178.2</v>
      </c>
      <c r="E186" s="7"/>
      <c r="F186" s="17">
        <f t="shared" si="39"/>
        <v>181.8</v>
      </c>
      <c r="G186" s="6" t="s">
        <v>54</v>
      </c>
      <c r="H186" s="6" t="str">
        <f t="shared" si="40"/>
        <v>Not Done</v>
      </c>
      <c r="K186">
        <f t="shared" si="41"/>
        <v>180</v>
      </c>
      <c r="L186">
        <f t="shared" si="42"/>
        <v>1.8</v>
      </c>
      <c r="M186" s="9">
        <v>1</v>
      </c>
      <c r="N186" s="9">
        <f t="shared" si="43"/>
        <v>1000</v>
      </c>
      <c r="O186" s="9"/>
      <c r="P186" s="9" t="s">
        <v>72</v>
      </c>
      <c r="Q186" s="9">
        <v>6</v>
      </c>
      <c r="R186" s="9" t="s">
        <v>42</v>
      </c>
      <c r="S186" s="9">
        <v>0.02</v>
      </c>
      <c r="T186" s="9">
        <v>0.09</v>
      </c>
      <c r="U186" s="9">
        <v>0</v>
      </c>
      <c r="V186" s="9" t="s">
        <v>75</v>
      </c>
      <c r="W186" s="9">
        <v>50</v>
      </c>
    </row>
    <row r="187" spans="1:23" x14ac:dyDescent="0.3">
      <c r="A187" s="9">
        <v>6</v>
      </c>
      <c r="B187" s="10" t="s">
        <v>151</v>
      </c>
      <c r="C187" s="6" t="s">
        <v>58</v>
      </c>
      <c r="D187" s="17">
        <f t="shared" si="38"/>
        <v>178.2</v>
      </c>
      <c r="E187" s="7"/>
      <c r="F187" s="17">
        <f t="shared" si="39"/>
        <v>181.8</v>
      </c>
      <c r="G187" s="6" t="s">
        <v>54</v>
      </c>
      <c r="H187" s="6" t="str">
        <f t="shared" si="40"/>
        <v>Not Done</v>
      </c>
      <c r="K187">
        <f t="shared" si="41"/>
        <v>180</v>
      </c>
      <c r="L187">
        <f t="shared" si="42"/>
        <v>1.8</v>
      </c>
      <c r="M187" s="9">
        <v>1</v>
      </c>
      <c r="N187" s="9">
        <f t="shared" si="43"/>
        <v>1000</v>
      </c>
      <c r="O187" s="9"/>
      <c r="P187" s="9" t="s">
        <v>72</v>
      </c>
      <c r="Q187" s="9">
        <v>6</v>
      </c>
      <c r="R187" s="9" t="s">
        <v>42</v>
      </c>
      <c r="S187" s="9">
        <v>0.02</v>
      </c>
      <c r="T187" s="9">
        <v>0.09</v>
      </c>
      <c r="U187" s="9">
        <v>0</v>
      </c>
      <c r="V187" s="9" t="s">
        <v>63</v>
      </c>
      <c r="W187" s="9">
        <v>50</v>
      </c>
    </row>
    <row r="189" spans="1:23" ht="15.75" customHeight="1" x14ac:dyDescent="0.3">
      <c r="B189" s="4" t="s">
        <v>98</v>
      </c>
    </row>
    <row r="190" spans="1:23" x14ac:dyDescent="0.3">
      <c r="B190" s="5" t="s">
        <v>20</v>
      </c>
      <c r="C190" s="5" t="s">
        <v>33</v>
      </c>
      <c r="D190" s="5" t="s">
        <v>99</v>
      </c>
      <c r="E190" s="5" t="s">
        <v>34</v>
      </c>
      <c r="F190" s="5" t="s">
        <v>35</v>
      </c>
      <c r="G190" s="5" t="s">
        <v>36</v>
      </c>
      <c r="H190" s="5" t="s">
        <v>37</v>
      </c>
      <c r="I190" s="5" t="s">
        <v>21</v>
      </c>
    </row>
    <row r="191" spans="1:23" x14ac:dyDescent="0.3">
      <c r="B191" s="10" t="s">
        <v>100</v>
      </c>
      <c r="C191" s="6" t="s">
        <v>53</v>
      </c>
      <c r="D191" s="6" t="s">
        <v>101</v>
      </c>
      <c r="E191" s="6">
        <v>895.3</v>
      </c>
      <c r="F191" s="17"/>
      <c r="G191" s="6">
        <v>904.7</v>
      </c>
      <c r="H191" s="6" t="s">
        <v>54</v>
      </c>
      <c r="I191" s="6" t="str">
        <f t="shared" ref="I191:I208" si="44">IF(ISBLANK(F191),"Not Done",IF(AND(F191&lt;=G191,F191&gt;=E191),"Pass","Fail"))</f>
        <v>Not Done</v>
      </c>
      <c r="P191" s="9" t="s">
        <v>102</v>
      </c>
      <c r="Q191" s="9">
        <v>1</v>
      </c>
      <c r="R191" s="9" t="s">
        <v>42</v>
      </c>
      <c r="S191" s="9">
        <v>1E-3</v>
      </c>
      <c r="T191" s="9">
        <v>0.9</v>
      </c>
      <c r="U191" s="9">
        <v>0.9</v>
      </c>
      <c r="V191" s="9" t="s">
        <v>73</v>
      </c>
      <c r="W191" s="9" t="s">
        <v>43</v>
      </c>
    </row>
    <row r="192" spans="1:23" x14ac:dyDescent="0.3">
      <c r="B192" s="10" t="s">
        <v>100</v>
      </c>
      <c r="C192" s="6" t="s">
        <v>53</v>
      </c>
      <c r="D192" s="6" t="s">
        <v>133</v>
      </c>
      <c r="E192" s="6">
        <v>-0.2</v>
      </c>
      <c r="F192" s="8"/>
      <c r="G192" s="6">
        <v>0.2</v>
      </c>
      <c r="H192" s="6" t="s">
        <v>54</v>
      </c>
      <c r="I192" s="6" t="str">
        <f t="shared" ref="I192" si="45">IF(ISBLANK(F192),"Not Done",IF(AND(F192&lt;=G192,F192&gt;=E192),"Pass","Fail"))</f>
        <v>Not Done</v>
      </c>
      <c r="P192" s="9" t="s">
        <v>102</v>
      </c>
      <c r="Q192" s="9">
        <v>1</v>
      </c>
      <c r="R192" s="9" t="s">
        <v>42</v>
      </c>
      <c r="S192" s="9">
        <v>1E-3</v>
      </c>
      <c r="T192" s="9">
        <v>0</v>
      </c>
      <c r="U192" s="9">
        <v>0</v>
      </c>
      <c r="V192" s="9" t="s">
        <v>73</v>
      </c>
      <c r="W192" s="9" t="s">
        <v>43</v>
      </c>
    </row>
    <row r="193" spans="2:23" x14ac:dyDescent="0.3">
      <c r="B193" s="10" t="s">
        <v>100</v>
      </c>
      <c r="C193" s="6" t="s">
        <v>53</v>
      </c>
      <c r="D193" s="6" t="s">
        <v>103</v>
      </c>
      <c r="E193" s="6">
        <v>-904.7</v>
      </c>
      <c r="F193" s="17"/>
      <c r="G193" s="6">
        <v>-895.3</v>
      </c>
      <c r="H193" s="6" t="s">
        <v>54</v>
      </c>
      <c r="I193" s="6" t="str">
        <f t="shared" si="44"/>
        <v>Not Done</v>
      </c>
      <c r="P193" s="9" t="s">
        <v>102</v>
      </c>
      <c r="Q193" s="9">
        <v>1</v>
      </c>
      <c r="R193" s="9" t="s">
        <v>42</v>
      </c>
      <c r="S193" s="9">
        <v>1E-3</v>
      </c>
      <c r="T193" s="9">
        <v>-0.9</v>
      </c>
      <c r="U193" s="9">
        <v>-0.9</v>
      </c>
      <c r="V193" s="9" t="s">
        <v>73</v>
      </c>
      <c r="W193" s="9" t="s">
        <v>43</v>
      </c>
    </row>
    <row r="194" spans="2:23" x14ac:dyDescent="0.3">
      <c r="B194" s="10" t="s">
        <v>100</v>
      </c>
      <c r="C194" s="6" t="s">
        <v>59</v>
      </c>
      <c r="D194" s="6" t="s">
        <v>67</v>
      </c>
      <c r="E194" s="6">
        <v>0.97499999999999998</v>
      </c>
      <c r="F194" s="8"/>
      <c r="G194" s="6">
        <v>1.0249999999999999</v>
      </c>
      <c r="H194" s="6" t="s">
        <v>62</v>
      </c>
      <c r="I194" s="6" t="str">
        <f t="shared" si="44"/>
        <v>Not Done</v>
      </c>
      <c r="P194" s="9" t="s">
        <v>102</v>
      </c>
      <c r="Q194" s="9">
        <v>1</v>
      </c>
      <c r="R194" s="9" t="s">
        <v>42</v>
      </c>
      <c r="S194" s="9">
        <v>0.1</v>
      </c>
      <c r="T194" s="9">
        <v>1</v>
      </c>
      <c r="U194" s="9">
        <v>1</v>
      </c>
      <c r="V194" s="9" t="s">
        <v>73</v>
      </c>
      <c r="W194" s="9" t="s">
        <v>43</v>
      </c>
    </row>
    <row r="195" spans="2:23" x14ac:dyDescent="0.3">
      <c r="B195" s="10" t="s">
        <v>100</v>
      </c>
      <c r="C195" s="6" t="s">
        <v>59</v>
      </c>
      <c r="D195" s="6" t="s">
        <v>126</v>
      </c>
      <c r="E195" s="6">
        <v>-0.02</v>
      </c>
      <c r="F195" s="18"/>
      <c r="G195" s="6">
        <v>0.02</v>
      </c>
      <c r="H195" s="6" t="s">
        <v>62</v>
      </c>
      <c r="I195" s="6" t="str">
        <f t="shared" si="44"/>
        <v>Not Done</v>
      </c>
      <c r="P195" s="9" t="s">
        <v>102</v>
      </c>
      <c r="Q195" s="9">
        <v>1</v>
      </c>
      <c r="R195" s="9" t="s">
        <v>42</v>
      </c>
      <c r="S195" s="9">
        <v>0.1</v>
      </c>
      <c r="T195" s="9">
        <v>0</v>
      </c>
      <c r="U195" s="9">
        <v>0</v>
      </c>
      <c r="V195" s="9" t="s">
        <v>73</v>
      </c>
      <c r="W195" s="9" t="s">
        <v>43</v>
      </c>
    </row>
    <row r="196" spans="2:23" x14ac:dyDescent="0.3">
      <c r="B196" s="10" t="s">
        <v>100</v>
      </c>
      <c r="C196" s="6" t="s">
        <v>59</v>
      </c>
      <c r="D196" s="11" t="s">
        <v>66</v>
      </c>
      <c r="E196" s="6">
        <v>-1.0249999999999999</v>
      </c>
      <c r="F196" s="8"/>
      <c r="G196" s="6">
        <v>-0.97499999999999998</v>
      </c>
      <c r="H196" s="6" t="s">
        <v>62</v>
      </c>
      <c r="I196" s="6" t="str">
        <f t="shared" si="44"/>
        <v>Not Done</v>
      </c>
      <c r="P196" s="9" t="s">
        <v>102</v>
      </c>
      <c r="Q196" s="9">
        <v>1</v>
      </c>
      <c r="R196" s="9" t="s">
        <v>42</v>
      </c>
      <c r="S196" s="9">
        <v>0.1</v>
      </c>
      <c r="T196" s="9">
        <v>-1</v>
      </c>
      <c r="U196" s="9">
        <v>-1</v>
      </c>
      <c r="V196" s="9" t="s">
        <v>73</v>
      </c>
      <c r="W196" s="9" t="s">
        <v>43</v>
      </c>
    </row>
    <row r="197" spans="2:23" x14ac:dyDescent="0.3">
      <c r="B197" s="10" t="s">
        <v>100</v>
      </c>
      <c r="C197" s="6" t="s">
        <v>60</v>
      </c>
      <c r="D197" s="6" t="s">
        <v>104</v>
      </c>
      <c r="E197" s="6">
        <v>8.8550000000000004</v>
      </c>
      <c r="F197" s="8"/>
      <c r="G197" s="6">
        <v>9.1449999999999996</v>
      </c>
      <c r="H197" s="6" t="s">
        <v>62</v>
      </c>
      <c r="I197" s="6" t="str">
        <f t="shared" si="44"/>
        <v>Not Done</v>
      </c>
      <c r="P197" s="9" t="s">
        <v>102</v>
      </c>
      <c r="Q197" s="9">
        <v>1</v>
      </c>
      <c r="R197" s="9" t="s">
        <v>42</v>
      </c>
      <c r="S197" s="9">
        <v>0.5</v>
      </c>
      <c r="T197" s="9">
        <v>9</v>
      </c>
      <c r="U197" s="9">
        <v>9</v>
      </c>
      <c r="V197" s="9" t="s">
        <v>73</v>
      </c>
      <c r="W197" s="9" t="s">
        <v>43</v>
      </c>
    </row>
    <row r="198" spans="2:23" x14ac:dyDescent="0.3">
      <c r="B198" s="10" t="s">
        <v>100</v>
      </c>
      <c r="C198" s="6" t="s">
        <v>60</v>
      </c>
      <c r="D198" s="6" t="s">
        <v>126</v>
      </c>
      <c r="E198" s="6">
        <v>-0.1</v>
      </c>
      <c r="F198" s="18"/>
      <c r="G198" s="6">
        <v>0.1</v>
      </c>
      <c r="H198" s="6" t="s">
        <v>62</v>
      </c>
      <c r="I198" s="6" t="str">
        <f t="shared" si="44"/>
        <v>Not Done</v>
      </c>
      <c r="P198" s="9" t="s">
        <v>102</v>
      </c>
      <c r="Q198" s="9">
        <v>1</v>
      </c>
      <c r="R198" s="9" t="s">
        <v>42</v>
      </c>
      <c r="S198" s="9">
        <v>0.5</v>
      </c>
      <c r="T198" s="9">
        <v>0</v>
      </c>
      <c r="U198" s="9">
        <v>0</v>
      </c>
      <c r="V198" s="9" t="s">
        <v>73</v>
      </c>
      <c r="W198" s="9" t="s">
        <v>43</v>
      </c>
    </row>
    <row r="199" spans="2:23" x14ac:dyDescent="0.3">
      <c r="B199" s="10" t="s">
        <v>100</v>
      </c>
      <c r="C199" s="6" t="s">
        <v>60</v>
      </c>
      <c r="D199" s="6" t="s">
        <v>105</v>
      </c>
      <c r="E199" s="6">
        <v>-9.1449999999999996</v>
      </c>
      <c r="F199" s="8"/>
      <c r="G199" s="6">
        <v>-8.8550000000000004</v>
      </c>
      <c r="H199" s="6" t="s">
        <v>62</v>
      </c>
      <c r="I199" s="6" t="str">
        <f t="shared" si="44"/>
        <v>Not Done</v>
      </c>
      <c r="P199" s="9" t="s">
        <v>102</v>
      </c>
      <c r="Q199" s="9">
        <v>1</v>
      </c>
      <c r="R199" s="9" t="s">
        <v>42</v>
      </c>
      <c r="S199" s="9">
        <v>0.5</v>
      </c>
      <c r="T199" s="9">
        <v>-9</v>
      </c>
      <c r="U199" s="9">
        <v>-9</v>
      </c>
      <c r="V199" s="9" t="s">
        <v>73</v>
      </c>
      <c r="W199" s="9" t="s">
        <v>43</v>
      </c>
    </row>
    <row r="200" spans="2:23" x14ac:dyDescent="0.3">
      <c r="B200" s="10" t="s">
        <v>100</v>
      </c>
      <c r="C200" s="6" t="s">
        <v>158</v>
      </c>
      <c r="D200" s="6">
        <v>10</v>
      </c>
      <c r="E200" s="6">
        <v>8.9499999999999993</v>
      </c>
      <c r="F200" s="8"/>
      <c r="G200" s="6">
        <v>11.05</v>
      </c>
      <c r="H200" s="6" t="s">
        <v>62</v>
      </c>
      <c r="I200" s="6" t="str">
        <f t="shared" si="44"/>
        <v>Not Done</v>
      </c>
      <c r="P200" s="9" t="s">
        <v>102</v>
      </c>
      <c r="Q200" s="9">
        <v>1</v>
      </c>
      <c r="R200" s="9" t="s">
        <v>42</v>
      </c>
      <c r="S200" s="9">
        <v>5</v>
      </c>
      <c r="T200" s="9">
        <v>10</v>
      </c>
      <c r="U200" s="9">
        <v>10</v>
      </c>
      <c r="V200" s="9" t="s">
        <v>73</v>
      </c>
      <c r="W200" s="9" t="s">
        <v>43</v>
      </c>
    </row>
    <row r="201" spans="2:23" x14ac:dyDescent="0.3">
      <c r="B201" s="10" t="s">
        <v>100</v>
      </c>
      <c r="C201" s="6" t="s">
        <v>158</v>
      </c>
      <c r="D201" s="6" t="s">
        <v>126</v>
      </c>
      <c r="E201" s="8">
        <v>-1</v>
      </c>
      <c r="F201" s="8"/>
      <c r="G201" s="8">
        <v>1</v>
      </c>
      <c r="H201" s="6" t="s">
        <v>62</v>
      </c>
      <c r="I201" s="6" t="str">
        <f t="shared" si="44"/>
        <v>Not Done</v>
      </c>
      <c r="P201" s="9" t="s">
        <v>102</v>
      </c>
      <c r="Q201" s="9">
        <v>1</v>
      </c>
      <c r="R201" s="9" t="s">
        <v>42</v>
      </c>
      <c r="S201" s="9">
        <v>5</v>
      </c>
      <c r="T201" s="9">
        <v>0</v>
      </c>
      <c r="U201" s="9">
        <v>0</v>
      </c>
      <c r="V201" s="9" t="s">
        <v>73</v>
      </c>
      <c r="W201" s="9" t="s">
        <v>43</v>
      </c>
    </row>
    <row r="202" spans="2:23" x14ac:dyDescent="0.3">
      <c r="B202" s="10" t="s">
        <v>100</v>
      </c>
      <c r="C202" s="6" t="s">
        <v>158</v>
      </c>
      <c r="D202" s="11" t="s">
        <v>132</v>
      </c>
      <c r="E202" s="6">
        <v>-11.05</v>
      </c>
      <c r="F202" s="8"/>
      <c r="G202" s="6">
        <v>-8.9499999999999993</v>
      </c>
      <c r="H202" s="6" t="s">
        <v>62</v>
      </c>
      <c r="I202" s="6" t="str">
        <f t="shared" si="44"/>
        <v>Not Done</v>
      </c>
      <c r="P202" s="9" t="s">
        <v>102</v>
      </c>
      <c r="Q202" s="9">
        <v>1</v>
      </c>
      <c r="R202" s="9" t="s">
        <v>42</v>
      </c>
      <c r="S202" s="9">
        <v>5</v>
      </c>
      <c r="T202" s="9">
        <v>-10</v>
      </c>
      <c r="U202" s="9">
        <v>-10</v>
      </c>
      <c r="V202" s="9" t="s">
        <v>73</v>
      </c>
      <c r="W202" s="9" t="s">
        <v>43</v>
      </c>
    </row>
    <row r="203" spans="2:23" x14ac:dyDescent="0.3">
      <c r="B203" s="10" t="s">
        <v>106</v>
      </c>
      <c r="C203" s="6" t="s">
        <v>53</v>
      </c>
      <c r="D203" s="6" t="s">
        <v>101</v>
      </c>
      <c r="E203" s="6">
        <v>895.3</v>
      </c>
      <c r="F203" s="17"/>
      <c r="G203" s="6">
        <v>904.7</v>
      </c>
      <c r="H203" s="6" t="s">
        <v>54</v>
      </c>
      <c r="I203" s="6" t="str">
        <f t="shared" si="44"/>
        <v>Not Done</v>
      </c>
      <c r="P203" s="9" t="s">
        <v>102</v>
      </c>
      <c r="Q203" s="9">
        <v>1</v>
      </c>
      <c r="R203" s="9" t="s">
        <v>42</v>
      </c>
      <c r="S203" s="9">
        <v>1E-3</v>
      </c>
      <c r="T203" s="9">
        <v>0.9</v>
      </c>
      <c r="U203" s="9">
        <v>0.9</v>
      </c>
      <c r="V203" s="9" t="s">
        <v>73</v>
      </c>
      <c r="W203" s="9">
        <v>50</v>
      </c>
    </row>
    <row r="204" spans="2:23" x14ac:dyDescent="0.3">
      <c r="B204" s="10" t="s">
        <v>106</v>
      </c>
      <c r="C204" s="6" t="s">
        <v>53</v>
      </c>
      <c r="D204" s="6" t="s">
        <v>133</v>
      </c>
      <c r="E204" s="6">
        <v>-0.2</v>
      </c>
      <c r="F204" s="8"/>
      <c r="G204" s="6">
        <v>0.2</v>
      </c>
      <c r="H204" s="6" t="s">
        <v>54</v>
      </c>
      <c r="I204" s="6" t="str">
        <f t="shared" si="44"/>
        <v>Not Done</v>
      </c>
      <c r="P204" s="9" t="s">
        <v>102</v>
      </c>
      <c r="Q204" s="9">
        <v>1</v>
      </c>
      <c r="R204" s="9" t="s">
        <v>42</v>
      </c>
      <c r="S204" s="9">
        <v>1E-3</v>
      </c>
      <c r="T204" s="9">
        <v>0</v>
      </c>
      <c r="U204" s="9">
        <v>0</v>
      </c>
      <c r="V204" s="9" t="s">
        <v>73</v>
      </c>
      <c r="W204" s="9">
        <v>50</v>
      </c>
    </row>
    <row r="205" spans="2:23" x14ac:dyDescent="0.3">
      <c r="B205" s="10" t="s">
        <v>106</v>
      </c>
      <c r="C205" s="6" t="s">
        <v>53</v>
      </c>
      <c r="D205" s="6" t="s">
        <v>103</v>
      </c>
      <c r="E205" s="6">
        <v>-904.7</v>
      </c>
      <c r="F205" s="17"/>
      <c r="G205" s="6">
        <v>-895.3</v>
      </c>
      <c r="H205" s="6" t="s">
        <v>54</v>
      </c>
      <c r="I205" s="6" t="str">
        <f t="shared" si="44"/>
        <v>Not Done</v>
      </c>
      <c r="P205" s="9" t="s">
        <v>102</v>
      </c>
      <c r="Q205" s="9">
        <v>1</v>
      </c>
      <c r="R205" s="9" t="s">
        <v>42</v>
      </c>
      <c r="S205" s="9">
        <v>1E-3</v>
      </c>
      <c r="T205" s="9">
        <v>-0.9</v>
      </c>
      <c r="U205" s="9">
        <v>-0.9</v>
      </c>
      <c r="V205" s="9" t="s">
        <v>73</v>
      </c>
      <c r="W205" s="9">
        <v>50</v>
      </c>
    </row>
    <row r="206" spans="2:23" x14ac:dyDescent="0.3">
      <c r="B206" s="10" t="s">
        <v>106</v>
      </c>
      <c r="C206" s="6" t="s">
        <v>59</v>
      </c>
      <c r="D206" s="6" t="s">
        <v>163</v>
      </c>
      <c r="E206" s="6">
        <v>2.97</v>
      </c>
      <c r="F206" s="8"/>
      <c r="G206" s="6">
        <v>3.03</v>
      </c>
      <c r="H206" s="6" t="s">
        <v>62</v>
      </c>
      <c r="I206" s="6" t="str">
        <f t="shared" si="44"/>
        <v>Not Done</v>
      </c>
      <c r="P206" s="9" t="s">
        <v>102</v>
      </c>
      <c r="Q206" s="9">
        <v>1</v>
      </c>
      <c r="R206" s="9" t="s">
        <v>42</v>
      </c>
      <c r="S206" s="9">
        <v>0.1</v>
      </c>
      <c r="T206" s="9">
        <v>3</v>
      </c>
      <c r="U206" s="9">
        <v>3</v>
      </c>
      <c r="V206" s="9" t="s">
        <v>73</v>
      </c>
      <c r="W206" s="9">
        <v>50</v>
      </c>
    </row>
    <row r="207" spans="2:23" x14ac:dyDescent="0.3">
      <c r="B207" s="10" t="s">
        <v>106</v>
      </c>
      <c r="C207" s="6" t="s">
        <v>59</v>
      </c>
      <c r="D207" s="6" t="s">
        <v>126</v>
      </c>
      <c r="E207" s="6">
        <v>-0.02</v>
      </c>
      <c r="F207" s="8"/>
      <c r="G207" s="6">
        <v>0.02</v>
      </c>
      <c r="H207" s="6" t="s">
        <v>62</v>
      </c>
      <c r="I207" s="6" t="str">
        <f t="shared" si="44"/>
        <v>Not Done</v>
      </c>
      <c r="P207" s="9" t="s">
        <v>102</v>
      </c>
      <c r="Q207" s="9">
        <v>1</v>
      </c>
      <c r="R207" s="9" t="s">
        <v>42</v>
      </c>
      <c r="S207" s="9">
        <v>0.1</v>
      </c>
      <c r="T207" s="9">
        <v>0</v>
      </c>
      <c r="U207" s="9">
        <v>0</v>
      </c>
      <c r="V207" s="9" t="s">
        <v>73</v>
      </c>
      <c r="W207" s="9">
        <v>50</v>
      </c>
    </row>
    <row r="208" spans="2:23" x14ac:dyDescent="0.3">
      <c r="B208" s="10" t="s">
        <v>106</v>
      </c>
      <c r="C208" s="6" t="s">
        <v>59</v>
      </c>
      <c r="D208" s="11" t="s">
        <v>164</v>
      </c>
      <c r="E208" s="6">
        <v>-3.03</v>
      </c>
      <c r="F208" s="8"/>
      <c r="G208" s="6">
        <v>-2.97</v>
      </c>
      <c r="H208" s="6" t="s">
        <v>62</v>
      </c>
      <c r="I208" s="6" t="str">
        <f t="shared" si="44"/>
        <v>Not Done</v>
      </c>
      <c r="P208" s="9" t="s">
        <v>102</v>
      </c>
      <c r="Q208" s="9">
        <v>1</v>
      </c>
      <c r="R208" s="9" t="s">
        <v>42</v>
      </c>
      <c r="S208" s="9">
        <v>0.1</v>
      </c>
      <c r="T208" s="9">
        <v>-3</v>
      </c>
      <c r="U208" s="9">
        <v>-3</v>
      </c>
      <c r="V208" s="9" t="s">
        <v>73</v>
      </c>
      <c r="W208" s="9">
        <v>50</v>
      </c>
    </row>
    <row r="209" spans="2:23" x14ac:dyDescent="0.3">
      <c r="B209" s="10" t="s">
        <v>107</v>
      </c>
      <c r="C209" s="6" t="s">
        <v>53</v>
      </c>
      <c r="D209" s="6" t="s">
        <v>101</v>
      </c>
      <c r="E209" s="6">
        <v>895.3</v>
      </c>
      <c r="F209" s="17"/>
      <c r="G209" s="6">
        <v>904.7</v>
      </c>
      <c r="H209" s="6" t="s">
        <v>54</v>
      </c>
      <c r="I209" s="6" t="str">
        <f t="shared" ref="I209:I262" si="46">IF(ISBLANK(F209),"Not Done",IF(AND(F209&lt;=G209,F209&gt;=E209),"Pass","Fail"))</f>
        <v>Not Done</v>
      </c>
      <c r="P209" s="9" t="s">
        <v>102</v>
      </c>
      <c r="Q209" s="9">
        <v>2</v>
      </c>
      <c r="R209" s="9" t="s">
        <v>42</v>
      </c>
      <c r="S209" s="9">
        <v>1E-3</v>
      </c>
      <c r="T209" s="9">
        <v>0.9</v>
      </c>
      <c r="U209" s="9">
        <v>0.9</v>
      </c>
      <c r="V209" s="9" t="s">
        <v>73</v>
      </c>
      <c r="W209" s="9" t="s">
        <v>43</v>
      </c>
    </row>
    <row r="210" spans="2:23" x14ac:dyDescent="0.3">
      <c r="B210" s="10" t="s">
        <v>107</v>
      </c>
      <c r="C210" s="6" t="s">
        <v>53</v>
      </c>
      <c r="D210" s="6" t="s">
        <v>133</v>
      </c>
      <c r="E210" s="6">
        <v>-0.2</v>
      </c>
      <c r="F210" s="8"/>
      <c r="G210" s="6">
        <v>0.2</v>
      </c>
      <c r="H210" s="6" t="s">
        <v>54</v>
      </c>
      <c r="I210" s="6" t="str">
        <f t="shared" si="46"/>
        <v>Not Done</v>
      </c>
      <c r="P210" s="9" t="s">
        <v>102</v>
      </c>
      <c r="Q210" s="9">
        <v>2</v>
      </c>
      <c r="R210" s="9" t="s">
        <v>42</v>
      </c>
      <c r="S210" s="9">
        <v>1E-3</v>
      </c>
      <c r="T210" s="9">
        <v>0</v>
      </c>
      <c r="U210" s="9">
        <v>0</v>
      </c>
      <c r="V210" s="9" t="s">
        <v>73</v>
      </c>
      <c r="W210" s="9" t="s">
        <v>43</v>
      </c>
    </row>
    <row r="211" spans="2:23" x14ac:dyDescent="0.3">
      <c r="B211" s="10" t="s">
        <v>107</v>
      </c>
      <c r="C211" s="6" t="s">
        <v>53</v>
      </c>
      <c r="D211" s="6" t="s">
        <v>103</v>
      </c>
      <c r="E211" s="6">
        <v>-904.7</v>
      </c>
      <c r="F211" s="17"/>
      <c r="G211" s="6">
        <v>-895.3</v>
      </c>
      <c r="H211" s="6" t="s">
        <v>54</v>
      </c>
      <c r="I211" s="6" t="str">
        <f t="shared" si="46"/>
        <v>Not Done</v>
      </c>
      <c r="P211" s="9" t="s">
        <v>102</v>
      </c>
      <c r="Q211" s="9">
        <v>2</v>
      </c>
      <c r="R211" s="9" t="s">
        <v>42</v>
      </c>
      <c r="S211" s="9">
        <v>1E-3</v>
      </c>
      <c r="T211" s="9">
        <v>-0.9</v>
      </c>
      <c r="U211" s="9">
        <v>-0.9</v>
      </c>
      <c r="V211" s="9" t="s">
        <v>73</v>
      </c>
      <c r="W211" s="9" t="s">
        <v>43</v>
      </c>
    </row>
    <row r="212" spans="2:23" x14ac:dyDescent="0.3">
      <c r="B212" s="10" t="s">
        <v>107</v>
      </c>
      <c r="C212" s="6" t="s">
        <v>59</v>
      </c>
      <c r="D212" s="6" t="s">
        <v>67</v>
      </c>
      <c r="E212" s="6">
        <v>0.97499999999999998</v>
      </c>
      <c r="F212" s="8"/>
      <c r="G212" s="6">
        <v>1.0249999999999999</v>
      </c>
      <c r="H212" s="6" t="s">
        <v>62</v>
      </c>
      <c r="I212" s="6" t="str">
        <f t="shared" si="46"/>
        <v>Not Done</v>
      </c>
      <c r="P212" s="9" t="s">
        <v>102</v>
      </c>
      <c r="Q212" s="9">
        <v>2</v>
      </c>
      <c r="R212" s="9" t="s">
        <v>42</v>
      </c>
      <c r="S212" s="9">
        <v>0.1</v>
      </c>
      <c r="T212" s="9">
        <v>1</v>
      </c>
      <c r="U212" s="9">
        <v>1</v>
      </c>
      <c r="V212" s="9" t="s">
        <v>73</v>
      </c>
      <c r="W212" s="9" t="s">
        <v>43</v>
      </c>
    </row>
    <row r="213" spans="2:23" x14ac:dyDescent="0.3">
      <c r="B213" s="10" t="s">
        <v>107</v>
      </c>
      <c r="C213" s="6" t="s">
        <v>59</v>
      </c>
      <c r="D213" s="6" t="s">
        <v>126</v>
      </c>
      <c r="E213" s="6">
        <v>-0.02</v>
      </c>
      <c r="F213" s="18"/>
      <c r="G213" s="6">
        <v>0.02</v>
      </c>
      <c r="H213" s="6" t="s">
        <v>62</v>
      </c>
      <c r="I213" s="6" t="str">
        <f t="shared" si="46"/>
        <v>Not Done</v>
      </c>
      <c r="P213" s="9" t="s">
        <v>102</v>
      </c>
      <c r="Q213" s="9">
        <v>2</v>
      </c>
      <c r="R213" s="9" t="s">
        <v>42</v>
      </c>
      <c r="S213" s="9">
        <v>0.1</v>
      </c>
      <c r="T213" s="9">
        <v>0</v>
      </c>
      <c r="U213" s="9">
        <v>0</v>
      </c>
      <c r="V213" s="9" t="s">
        <v>73</v>
      </c>
      <c r="W213" s="9" t="s">
        <v>43</v>
      </c>
    </row>
    <row r="214" spans="2:23" x14ac:dyDescent="0.3">
      <c r="B214" s="10" t="s">
        <v>107</v>
      </c>
      <c r="C214" s="6" t="s">
        <v>59</v>
      </c>
      <c r="D214" s="11" t="s">
        <v>66</v>
      </c>
      <c r="E214" s="6">
        <v>-1.0249999999999999</v>
      </c>
      <c r="F214" s="8"/>
      <c r="G214" s="6">
        <v>-0.97499999999999998</v>
      </c>
      <c r="H214" s="6" t="s">
        <v>62</v>
      </c>
      <c r="I214" s="6" t="str">
        <f t="shared" si="46"/>
        <v>Not Done</v>
      </c>
      <c r="P214" s="9" t="s">
        <v>102</v>
      </c>
      <c r="Q214" s="9">
        <v>2</v>
      </c>
      <c r="R214" s="9" t="s">
        <v>42</v>
      </c>
      <c r="S214" s="9">
        <v>0.1</v>
      </c>
      <c r="T214" s="9">
        <v>-1</v>
      </c>
      <c r="U214" s="9">
        <v>-1</v>
      </c>
      <c r="V214" s="9" t="s">
        <v>73</v>
      </c>
      <c r="W214" s="9" t="s">
        <v>43</v>
      </c>
    </row>
    <row r="215" spans="2:23" x14ac:dyDescent="0.3">
      <c r="B215" s="10" t="s">
        <v>107</v>
      </c>
      <c r="C215" s="6" t="s">
        <v>60</v>
      </c>
      <c r="D215" s="6" t="s">
        <v>104</v>
      </c>
      <c r="E215" s="6">
        <v>8.8550000000000004</v>
      </c>
      <c r="F215" s="8"/>
      <c r="G215" s="6">
        <v>9.1449999999999996</v>
      </c>
      <c r="H215" s="6" t="s">
        <v>62</v>
      </c>
      <c r="I215" s="6" t="str">
        <f t="shared" si="46"/>
        <v>Not Done</v>
      </c>
      <c r="P215" s="9" t="s">
        <v>102</v>
      </c>
      <c r="Q215" s="9">
        <v>2</v>
      </c>
      <c r="R215" s="9" t="s">
        <v>42</v>
      </c>
      <c r="S215" s="9">
        <v>0.5</v>
      </c>
      <c r="T215" s="9">
        <v>9</v>
      </c>
      <c r="U215" s="9">
        <v>9</v>
      </c>
      <c r="V215" s="9" t="s">
        <v>73</v>
      </c>
      <c r="W215" s="9" t="s">
        <v>43</v>
      </c>
    </row>
    <row r="216" spans="2:23" x14ac:dyDescent="0.3">
      <c r="B216" s="10" t="s">
        <v>107</v>
      </c>
      <c r="C216" s="6" t="s">
        <v>60</v>
      </c>
      <c r="D216" s="6" t="s">
        <v>126</v>
      </c>
      <c r="E216" s="6">
        <v>-0.1</v>
      </c>
      <c r="F216" s="18"/>
      <c r="G216" s="6">
        <v>0.1</v>
      </c>
      <c r="H216" s="6" t="s">
        <v>62</v>
      </c>
      <c r="I216" s="6" t="str">
        <f t="shared" si="46"/>
        <v>Not Done</v>
      </c>
      <c r="P216" s="9" t="s">
        <v>102</v>
      </c>
      <c r="Q216" s="9">
        <v>2</v>
      </c>
      <c r="R216" s="9" t="s">
        <v>42</v>
      </c>
      <c r="S216" s="9">
        <v>0.5</v>
      </c>
      <c r="T216" s="9">
        <v>0</v>
      </c>
      <c r="U216" s="9">
        <v>0</v>
      </c>
      <c r="V216" s="9" t="s">
        <v>73</v>
      </c>
      <c r="W216" s="9" t="s">
        <v>43</v>
      </c>
    </row>
    <row r="217" spans="2:23" x14ac:dyDescent="0.3">
      <c r="B217" s="10" t="s">
        <v>107</v>
      </c>
      <c r="C217" s="6" t="s">
        <v>60</v>
      </c>
      <c r="D217" s="6" t="s">
        <v>105</v>
      </c>
      <c r="E217" s="6">
        <v>-9.1449999999999996</v>
      </c>
      <c r="F217" s="8"/>
      <c r="G217" s="6">
        <v>-8.8550000000000004</v>
      </c>
      <c r="H217" s="6" t="s">
        <v>62</v>
      </c>
      <c r="I217" s="6" t="str">
        <f t="shared" si="46"/>
        <v>Not Done</v>
      </c>
      <c r="P217" s="9" t="s">
        <v>102</v>
      </c>
      <c r="Q217" s="9">
        <v>2</v>
      </c>
      <c r="R217" s="9" t="s">
        <v>42</v>
      </c>
      <c r="S217" s="9">
        <v>0.5</v>
      </c>
      <c r="T217" s="9">
        <v>-9</v>
      </c>
      <c r="U217" s="9">
        <v>-9</v>
      </c>
      <c r="V217" s="9" t="s">
        <v>73</v>
      </c>
      <c r="W217" s="9" t="s">
        <v>43</v>
      </c>
    </row>
    <row r="218" spans="2:23" x14ac:dyDescent="0.3">
      <c r="B218" s="10" t="s">
        <v>107</v>
      </c>
      <c r="C218" s="6" t="s">
        <v>158</v>
      </c>
      <c r="D218" s="6">
        <v>10</v>
      </c>
      <c r="E218" s="6">
        <v>8.9499999999999993</v>
      </c>
      <c r="F218" s="8"/>
      <c r="G218" s="6">
        <v>11.05</v>
      </c>
      <c r="H218" s="6" t="s">
        <v>62</v>
      </c>
      <c r="I218" s="6" t="str">
        <f t="shared" si="46"/>
        <v>Not Done</v>
      </c>
      <c r="P218" s="9" t="s">
        <v>102</v>
      </c>
      <c r="Q218" s="9">
        <v>2</v>
      </c>
      <c r="R218" s="9" t="s">
        <v>42</v>
      </c>
      <c r="S218" s="9">
        <v>5</v>
      </c>
      <c r="T218" s="9">
        <v>10</v>
      </c>
      <c r="U218" s="9">
        <v>10</v>
      </c>
      <c r="V218" s="9" t="s">
        <v>73</v>
      </c>
      <c r="W218" s="9" t="s">
        <v>43</v>
      </c>
    </row>
    <row r="219" spans="2:23" x14ac:dyDescent="0.3">
      <c r="B219" s="10" t="s">
        <v>107</v>
      </c>
      <c r="C219" s="6" t="s">
        <v>158</v>
      </c>
      <c r="D219" s="6" t="s">
        <v>126</v>
      </c>
      <c r="E219" s="8">
        <v>-1</v>
      </c>
      <c r="F219" s="8"/>
      <c r="G219" s="8">
        <v>1</v>
      </c>
      <c r="H219" s="6" t="s">
        <v>62</v>
      </c>
      <c r="I219" s="6" t="str">
        <f t="shared" si="46"/>
        <v>Not Done</v>
      </c>
      <c r="P219" s="9" t="s">
        <v>102</v>
      </c>
      <c r="Q219" s="9">
        <v>2</v>
      </c>
      <c r="R219" s="9" t="s">
        <v>42</v>
      </c>
      <c r="S219" s="9">
        <v>5</v>
      </c>
      <c r="T219" s="9">
        <v>0</v>
      </c>
      <c r="U219" s="9">
        <v>0</v>
      </c>
      <c r="V219" s="9" t="s">
        <v>73</v>
      </c>
      <c r="W219" s="9" t="s">
        <v>43</v>
      </c>
    </row>
    <row r="220" spans="2:23" x14ac:dyDescent="0.3">
      <c r="B220" s="10" t="s">
        <v>107</v>
      </c>
      <c r="C220" s="6" t="s">
        <v>158</v>
      </c>
      <c r="D220" s="11" t="s">
        <v>132</v>
      </c>
      <c r="E220" s="6">
        <v>-11.05</v>
      </c>
      <c r="F220" s="8"/>
      <c r="G220" s="6">
        <v>-8.9499999999999993</v>
      </c>
      <c r="H220" s="6" t="s">
        <v>62</v>
      </c>
      <c r="I220" s="6" t="str">
        <f t="shared" si="46"/>
        <v>Not Done</v>
      </c>
      <c r="P220" s="9" t="s">
        <v>102</v>
      </c>
      <c r="Q220" s="9">
        <v>2</v>
      </c>
      <c r="R220" s="9" t="s">
        <v>42</v>
      </c>
      <c r="S220" s="9">
        <v>5</v>
      </c>
      <c r="T220" s="9">
        <v>-10</v>
      </c>
      <c r="U220" s="9">
        <v>-10</v>
      </c>
      <c r="V220" s="9" t="s">
        <v>73</v>
      </c>
      <c r="W220" s="9" t="s">
        <v>43</v>
      </c>
    </row>
    <row r="221" spans="2:23" x14ac:dyDescent="0.3">
      <c r="B221" s="10" t="s">
        <v>108</v>
      </c>
      <c r="C221" s="6" t="s">
        <v>53</v>
      </c>
      <c r="D221" s="6" t="s">
        <v>101</v>
      </c>
      <c r="E221" s="6">
        <v>895.3</v>
      </c>
      <c r="F221" s="17"/>
      <c r="G221" s="6">
        <v>904.7</v>
      </c>
      <c r="H221" s="6" t="s">
        <v>54</v>
      </c>
      <c r="I221" s="6" t="str">
        <f t="shared" si="46"/>
        <v>Not Done</v>
      </c>
      <c r="P221" s="9" t="s">
        <v>102</v>
      </c>
      <c r="Q221" s="9">
        <v>2</v>
      </c>
      <c r="R221" s="9" t="s">
        <v>42</v>
      </c>
      <c r="S221" s="9">
        <v>1E-3</v>
      </c>
      <c r="T221" s="9">
        <v>0.9</v>
      </c>
      <c r="U221" s="9">
        <v>0.9</v>
      </c>
      <c r="V221" s="9" t="s">
        <v>73</v>
      </c>
      <c r="W221" s="9">
        <v>50</v>
      </c>
    </row>
    <row r="222" spans="2:23" x14ac:dyDescent="0.3">
      <c r="B222" s="10" t="s">
        <v>108</v>
      </c>
      <c r="C222" s="6" t="s">
        <v>53</v>
      </c>
      <c r="D222" s="6" t="s">
        <v>133</v>
      </c>
      <c r="E222" s="6">
        <v>-0.2</v>
      </c>
      <c r="F222" s="8"/>
      <c r="G222" s="6">
        <v>0.2</v>
      </c>
      <c r="H222" s="6" t="s">
        <v>54</v>
      </c>
      <c r="I222" s="6" t="str">
        <f t="shared" si="46"/>
        <v>Not Done</v>
      </c>
      <c r="P222" s="9" t="s">
        <v>102</v>
      </c>
      <c r="Q222" s="9">
        <v>2</v>
      </c>
      <c r="R222" s="9" t="s">
        <v>42</v>
      </c>
      <c r="S222" s="9">
        <v>1E-3</v>
      </c>
      <c r="T222" s="9">
        <v>0</v>
      </c>
      <c r="U222" s="9">
        <v>0</v>
      </c>
      <c r="V222" s="9" t="s">
        <v>73</v>
      </c>
      <c r="W222" s="9">
        <v>50</v>
      </c>
    </row>
    <row r="223" spans="2:23" x14ac:dyDescent="0.3">
      <c r="B223" s="10" t="s">
        <v>108</v>
      </c>
      <c r="C223" s="6" t="s">
        <v>53</v>
      </c>
      <c r="D223" s="6" t="s">
        <v>103</v>
      </c>
      <c r="E223" s="6">
        <v>-904.7</v>
      </c>
      <c r="F223" s="17"/>
      <c r="G223" s="6">
        <v>-895.3</v>
      </c>
      <c r="H223" s="6" t="s">
        <v>54</v>
      </c>
      <c r="I223" s="6" t="str">
        <f t="shared" si="46"/>
        <v>Not Done</v>
      </c>
      <c r="P223" s="9" t="s">
        <v>102</v>
      </c>
      <c r="Q223" s="9">
        <v>2</v>
      </c>
      <c r="R223" s="9" t="s">
        <v>42</v>
      </c>
      <c r="S223" s="9">
        <v>1E-3</v>
      </c>
      <c r="T223" s="9">
        <v>-0.9</v>
      </c>
      <c r="U223" s="9">
        <v>-0.9</v>
      </c>
      <c r="V223" s="9" t="s">
        <v>73</v>
      </c>
      <c r="W223" s="9">
        <v>50</v>
      </c>
    </row>
    <row r="224" spans="2:23" x14ac:dyDescent="0.3">
      <c r="B224" s="10" t="s">
        <v>108</v>
      </c>
      <c r="C224" s="6" t="s">
        <v>59</v>
      </c>
      <c r="D224" s="6" t="s">
        <v>163</v>
      </c>
      <c r="E224" s="6">
        <v>2.97</v>
      </c>
      <c r="F224" s="8"/>
      <c r="G224" s="6">
        <v>3.03</v>
      </c>
      <c r="H224" s="6" t="s">
        <v>62</v>
      </c>
      <c r="I224" s="6" t="str">
        <f t="shared" si="46"/>
        <v>Not Done</v>
      </c>
      <c r="P224" s="9" t="s">
        <v>102</v>
      </c>
      <c r="Q224" s="9">
        <v>2</v>
      </c>
      <c r="R224" s="9" t="s">
        <v>42</v>
      </c>
      <c r="S224" s="9">
        <v>0.1</v>
      </c>
      <c r="T224" s="9">
        <v>3</v>
      </c>
      <c r="U224" s="9">
        <v>3</v>
      </c>
      <c r="V224" s="9" t="s">
        <v>73</v>
      </c>
      <c r="W224" s="9">
        <v>50</v>
      </c>
    </row>
    <row r="225" spans="2:23" x14ac:dyDescent="0.3">
      <c r="B225" s="10" t="s">
        <v>108</v>
      </c>
      <c r="C225" s="6" t="s">
        <v>59</v>
      </c>
      <c r="D225" s="6" t="s">
        <v>126</v>
      </c>
      <c r="E225" s="6">
        <v>-0.02</v>
      </c>
      <c r="F225" s="8"/>
      <c r="G225" s="6">
        <v>0.02</v>
      </c>
      <c r="H225" s="6" t="s">
        <v>62</v>
      </c>
      <c r="I225" s="6" t="str">
        <f t="shared" si="46"/>
        <v>Not Done</v>
      </c>
      <c r="P225" s="9" t="s">
        <v>102</v>
      </c>
      <c r="Q225" s="9">
        <v>2</v>
      </c>
      <c r="R225" s="9" t="s">
        <v>42</v>
      </c>
      <c r="S225" s="9">
        <v>0.1</v>
      </c>
      <c r="T225" s="9">
        <v>0</v>
      </c>
      <c r="U225" s="9">
        <v>0</v>
      </c>
      <c r="V225" s="9" t="s">
        <v>73</v>
      </c>
      <c r="W225" s="9">
        <v>50</v>
      </c>
    </row>
    <row r="226" spans="2:23" x14ac:dyDescent="0.3">
      <c r="B226" s="10" t="s">
        <v>108</v>
      </c>
      <c r="C226" s="6" t="s">
        <v>59</v>
      </c>
      <c r="D226" s="11" t="s">
        <v>164</v>
      </c>
      <c r="E226" s="6">
        <v>-3.03</v>
      </c>
      <c r="F226" s="8"/>
      <c r="G226" s="6">
        <v>-2.97</v>
      </c>
      <c r="H226" s="6" t="s">
        <v>62</v>
      </c>
      <c r="I226" s="6" t="str">
        <f t="shared" si="46"/>
        <v>Not Done</v>
      </c>
      <c r="P226" s="9" t="s">
        <v>102</v>
      </c>
      <c r="Q226" s="9">
        <v>2</v>
      </c>
      <c r="R226" s="9" t="s">
        <v>42</v>
      </c>
      <c r="S226" s="9">
        <v>0.1</v>
      </c>
      <c r="T226" s="9">
        <v>-3</v>
      </c>
      <c r="U226" s="9">
        <v>-3</v>
      </c>
      <c r="V226" s="9" t="s">
        <v>73</v>
      </c>
      <c r="W226" s="9">
        <v>50</v>
      </c>
    </row>
    <row r="227" spans="2:23" x14ac:dyDescent="0.3">
      <c r="B227" s="10" t="s">
        <v>109</v>
      </c>
      <c r="C227" s="6" t="s">
        <v>53</v>
      </c>
      <c r="D227" s="6" t="s">
        <v>101</v>
      </c>
      <c r="E227" s="6">
        <v>895.3</v>
      </c>
      <c r="F227" s="17"/>
      <c r="G227" s="6">
        <v>904.7</v>
      </c>
      <c r="H227" s="6" t="s">
        <v>54</v>
      </c>
      <c r="I227" s="6" t="str">
        <f t="shared" si="46"/>
        <v>Not Done</v>
      </c>
      <c r="P227" s="9" t="s">
        <v>102</v>
      </c>
      <c r="Q227" s="9">
        <v>3</v>
      </c>
      <c r="R227" s="9" t="s">
        <v>42</v>
      </c>
      <c r="S227" s="9">
        <v>1E-3</v>
      </c>
      <c r="T227" s="9">
        <v>0.9</v>
      </c>
      <c r="U227" s="9">
        <v>0.9</v>
      </c>
      <c r="V227" s="9" t="s">
        <v>73</v>
      </c>
      <c r="W227" s="9" t="s">
        <v>43</v>
      </c>
    </row>
    <row r="228" spans="2:23" x14ac:dyDescent="0.3">
      <c r="B228" s="10" t="s">
        <v>109</v>
      </c>
      <c r="C228" s="6" t="s">
        <v>53</v>
      </c>
      <c r="D228" s="6" t="s">
        <v>133</v>
      </c>
      <c r="E228" s="6">
        <v>-0.2</v>
      </c>
      <c r="F228" s="8"/>
      <c r="G228" s="6">
        <v>0.2</v>
      </c>
      <c r="H228" s="6" t="s">
        <v>54</v>
      </c>
      <c r="I228" s="6" t="str">
        <f t="shared" si="46"/>
        <v>Not Done</v>
      </c>
      <c r="P228" s="9" t="s">
        <v>102</v>
      </c>
      <c r="Q228" s="9">
        <v>3</v>
      </c>
      <c r="R228" s="9" t="s">
        <v>42</v>
      </c>
      <c r="S228" s="9">
        <v>1E-3</v>
      </c>
      <c r="T228" s="9">
        <v>0</v>
      </c>
      <c r="U228" s="9">
        <v>0</v>
      </c>
      <c r="V228" s="9" t="s">
        <v>73</v>
      </c>
      <c r="W228" s="9" t="s">
        <v>43</v>
      </c>
    </row>
    <row r="229" spans="2:23" x14ac:dyDescent="0.3">
      <c r="B229" s="10" t="s">
        <v>109</v>
      </c>
      <c r="C229" s="6" t="s">
        <v>53</v>
      </c>
      <c r="D229" s="6" t="s">
        <v>103</v>
      </c>
      <c r="E229" s="6">
        <v>-904.7</v>
      </c>
      <c r="F229" s="17"/>
      <c r="G229" s="6">
        <v>-895.3</v>
      </c>
      <c r="H229" s="6" t="s">
        <v>54</v>
      </c>
      <c r="I229" s="6" t="str">
        <f t="shared" si="46"/>
        <v>Not Done</v>
      </c>
      <c r="P229" s="9" t="s">
        <v>102</v>
      </c>
      <c r="Q229" s="9">
        <v>3</v>
      </c>
      <c r="R229" s="9" t="s">
        <v>42</v>
      </c>
      <c r="S229" s="9">
        <v>1E-3</v>
      </c>
      <c r="T229" s="9">
        <v>-0.9</v>
      </c>
      <c r="U229" s="9">
        <v>-0.9</v>
      </c>
      <c r="V229" s="9" t="s">
        <v>73</v>
      </c>
      <c r="W229" s="9" t="s">
        <v>43</v>
      </c>
    </row>
    <row r="230" spans="2:23" x14ac:dyDescent="0.3">
      <c r="B230" s="10" t="s">
        <v>109</v>
      </c>
      <c r="C230" s="6" t="s">
        <v>59</v>
      </c>
      <c r="D230" s="6" t="s">
        <v>67</v>
      </c>
      <c r="E230" s="6">
        <v>0.97499999999999998</v>
      </c>
      <c r="F230" s="8"/>
      <c r="G230" s="6">
        <v>1.0249999999999999</v>
      </c>
      <c r="H230" s="6" t="s">
        <v>62</v>
      </c>
      <c r="I230" s="6" t="str">
        <f t="shared" si="46"/>
        <v>Not Done</v>
      </c>
      <c r="P230" s="9" t="s">
        <v>102</v>
      </c>
      <c r="Q230" s="9">
        <v>3</v>
      </c>
      <c r="R230" s="9" t="s">
        <v>42</v>
      </c>
      <c r="S230" s="9">
        <v>0.1</v>
      </c>
      <c r="T230" s="9">
        <v>1</v>
      </c>
      <c r="U230" s="9">
        <v>1</v>
      </c>
      <c r="V230" s="9" t="s">
        <v>73</v>
      </c>
      <c r="W230" s="9" t="s">
        <v>43</v>
      </c>
    </row>
    <row r="231" spans="2:23" x14ac:dyDescent="0.3">
      <c r="B231" s="10" t="s">
        <v>109</v>
      </c>
      <c r="C231" s="6" t="s">
        <v>59</v>
      </c>
      <c r="D231" s="6" t="s">
        <v>126</v>
      </c>
      <c r="E231" s="6">
        <v>-0.02</v>
      </c>
      <c r="F231" s="18"/>
      <c r="G231" s="6">
        <v>0.02</v>
      </c>
      <c r="H231" s="6" t="s">
        <v>62</v>
      </c>
      <c r="I231" s="6" t="str">
        <f t="shared" si="46"/>
        <v>Not Done</v>
      </c>
      <c r="P231" s="9" t="s">
        <v>102</v>
      </c>
      <c r="Q231" s="9">
        <v>3</v>
      </c>
      <c r="R231" s="9" t="s">
        <v>42</v>
      </c>
      <c r="S231" s="9">
        <v>0.1</v>
      </c>
      <c r="T231" s="9">
        <v>0</v>
      </c>
      <c r="U231" s="9">
        <v>0</v>
      </c>
      <c r="V231" s="9" t="s">
        <v>73</v>
      </c>
      <c r="W231" s="9" t="s">
        <v>43</v>
      </c>
    </row>
    <row r="232" spans="2:23" x14ac:dyDescent="0.3">
      <c r="B232" s="10" t="s">
        <v>109</v>
      </c>
      <c r="C232" s="6" t="s">
        <v>59</v>
      </c>
      <c r="D232" s="11" t="s">
        <v>66</v>
      </c>
      <c r="E232" s="6">
        <v>-1.0249999999999999</v>
      </c>
      <c r="F232" s="8"/>
      <c r="G232" s="6">
        <v>-0.97499999999999998</v>
      </c>
      <c r="H232" s="6" t="s">
        <v>62</v>
      </c>
      <c r="I232" s="6" t="str">
        <f t="shared" si="46"/>
        <v>Not Done</v>
      </c>
      <c r="P232" s="9" t="s">
        <v>102</v>
      </c>
      <c r="Q232" s="9">
        <v>3</v>
      </c>
      <c r="R232" s="9" t="s">
        <v>42</v>
      </c>
      <c r="S232" s="9">
        <v>0.1</v>
      </c>
      <c r="T232" s="9">
        <v>-1</v>
      </c>
      <c r="U232" s="9">
        <v>-1</v>
      </c>
      <c r="V232" s="9" t="s">
        <v>73</v>
      </c>
      <c r="W232" s="9" t="s">
        <v>43</v>
      </c>
    </row>
    <row r="233" spans="2:23" x14ac:dyDescent="0.3">
      <c r="B233" s="10" t="s">
        <v>109</v>
      </c>
      <c r="C233" s="6" t="s">
        <v>60</v>
      </c>
      <c r="D233" s="6" t="s">
        <v>104</v>
      </c>
      <c r="E233" s="6">
        <v>8.8550000000000004</v>
      </c>
      <c r="F233" s="8"/>
      <c r="G233" s="6">
        <v>9.1449999999999996</v>
      </c>
      <c r="H233" s="6" t="s">
        <v>62</v>
      </c>
      <c r="I233" s="6" t="str">
        <f t="shared" si="46"/>
        <v>Not Done</v>
      </c>
      <c r="P233" s="9" t="s">
        <v>102</v>
      </c>
      <c r="Q233" s="9">
        <v>3</v>
      </c>
      <c r="R233" s="9" t="s">
        <v>42</v>
      </c>
      <c r="S233" s="9">
        <v>0.5</v>
      </c>
      <c r="T233" s="9">
        <v>9</v>
      </c>
      <c r="U233" s="9">
        <v>9</v>
      </c>
      <c r="V233" s="9" t="s">
        <v>73</v>
      </c>
      <c r="W233" s="9" t="s">
        <v>43</v>
      </c>
    </row>
    <row r="234" spans="2:23" x14ac:dyDescent="0.3">
      <c r="B234" s="10" t="s">
        <v>109</v>
      </c>
      <c r="C234" s="6" t="s">
        <v>60</v>
      </c>
      <c r="D234" s="6" t="s">
        <v>126</v>
      </c>
      <c r="E234" s="6">
        <v>-0.1</v>
      </c>
      <c r="F234" s="18"/>
      <c r="G234" s="6">
        <v>0.1</v>
      </c>
      <c r="H234" s="6" t="s">
        <v>62</v>
      </c>
      <c r="I234" s="6" t="str">
        <f t="shared" si="46"/>
        <v>Not Done</v>
      </c>
      <c r="P234" s="9" t="s">
        <v>102</v>
      </c>
      <c r="Q234" s="9">
        <v>3</v>
      </c>
      <c r="R234" s="9" t="s">
        <v>42</v>
      </c>
      <c r="S234" s="9">
        <v>0.5</v>
      </c>
      <c r="T234" s="9">
        <v>0</v>
      </c>
      <c r="U234" s="9">
        <v>0</v>
      </c>
      <c r="V234" s="9" t="s">
        <v>73</v>
      </c>
      <c r="W234" s="9" t="s">
        <v>43</v>
      </c>
    </row>
    <row r="235" spans="2:23" x14ac:dyDescent="0.3">
      <c r="B235" s="10" t="s">
        <v>109</v>
      </c>
      <c r="C235" s="6" t="s">
        <v>60</v>
      </c>
      <c r="D235" s="6" t="s">
        <v>105</v>
      </c>
      <c r="E235" s="6">
        <v>-9.1449999999999996</v>
      </c>
      <c r="F235" s="8"/>
      <c r="G235" s="6">
        <v>-8.8550000000000004</v>
      </c>
      <c r="H235" s="6" t="s">
        <v>62</v>
      </c>
      <c r="I235" s="6" t="str">
        <f t="shared" si="46"/>
        <v>Not Done</v>
      </c>
      <c r="P235" s="9" t="s">
        <v>102</v>
      </c>
      <c r="Q235" s="9">
        <v>3</v>
      </c>
      <c r="R235" s="9" t="s">
        <v>42</v>
      </c>
      <c r="S235" s="9">
        <v>0.5</v>
      </c>
      <c r="T235" s="9">
        <v>-9</v>
      </c>
      <c r="U235" s="9">
        <v>-9</v>
      </c>
      <c r="V235" s="9" t="s">
        <v>73</v>
      </c>
      <c r="W235" s="9" t="s">
        <v>43</v>
      </c>
    </row>
    <row r="236" spans="2:23" x14ac:dyDescent="0.3">
      <c r="B236" s="10" t="s">
        <v>109</v>
      </c>
      <c r="C236" s="6" t="s">
        <v>158</v>
      </c>
      <c r="D236" s="6">
        <v>10</v>
      </c>
      <c r="E236" s="6">
        <v>8.9499999999999993</v>
      </c>
      <c r="F236" s="8"/>
      <c r="G236" s="6">
        <v>11.05</v>
      </c>
      <c r="H236" s="6" t="s">
        <v>62</v>
      </c>
      <c r="I236" s="6" t="str">
        <f t="shared" si="46"/>
        <v>Not Done</v>
      </c>
      <c r="P236" s="9" t="s">
        <v>102</v>
      </c>
      <c r="Q236" s="9">
        <v>3</v>
      </c>
      <c r="R236" s="9" t="s">
        <v>42</v>
      </c>
      <c r="S236" s="9">
        <v>5</v>
      </c>
      <c r="T236" s="9">
        <v>10</v>
      </c>
      <c r="U236" s="9">
        <v>10</v>
      </c>
      <c r="V236" s="9" t="s">
        <v>73</v>
      </c>
      <c r="W236" s="9" t="s">
        <v>43</v>
      </c>
    </row>
    <row r="237" spans="2:23" x14ac:dyDescent="0.3">
      <c r="B237" s="10" t="s">
        <v>109</v>
      </c>
      <c r="C237" s="6" t="s">
        <v>158</v>
      </c>
      <c r="D237" s="6" t="s">
        <v>126</v>
      </c>
      <c r="E237" s="8">
        <v>-1</v>
      </c>
      <c r="F237" s="8"/>
      <c r="G237" s="8">
        <v>1</v>
      </c>
      <c r="H237" s="6" t="s">
        <v>62</v>
      </c>
      <c r="I237" s="6" t="str">
        <f t="shared" si="46"/>
        <v>Not Done</v>
      </c>
      <c r="P237" s="9" t="s">
        <v>102</v>
      </c>
      <c r="Q237" s="9">
        <v>3</v>
      </c>
      <c r="R237" s="9" t="s">
        <v>42</v>
      </c>
      <c r="S237" s="9">
        <v>5</v>
      </c>
      <c r="T237" s="9">
        <v>0</v>
      </c>
      <c r="U237" s="9">
        <v>0</v>
      </c>
      <c r="V237" s="9" t="s">
        <v>73</v>
      </c>
      <c r="W237" s="9" t="s">
        <v>43</v>
      </c>
    </row>
    <row r="238" spans="2:23" x14ac:dyDescent="0.3">
      <c r="B238" s="10" t="s">
        <v>109</v>
      </c>
      <c r="C238" s="6" t="s">
        <v>158</v>
      </c>
      <c r="D238" s="11" t="s">
        <v>132</v>
      </c>
      <c r="E238" s="6">
        <v>-11.05</v>
      </c>
      <c r="F238" s="8"/>
      <c r="G238" s="6">
        <v>-8.9499999999999993</v>
      </c>
      <c r="H238" s="6" t="s">
        <v>62</v>
      </c>
      <c r="I238" s="6" t="str">
        <f t="shared" si="46"/>
        <v>Not Done</v>
      </c>
      <c r="P238" s="9" t="s">
        <v>102</v>
      </c>
      <c r="Q238" s="9">
        <v>3</v>
      </c>
      <c r="R238" s="9" t="s">
        <v>42</v>
      </c>
      <c r="S238" s="9">
        <v>5</v>
      </c>
      <c r="T238" s="9">
        <v>-10</v>
      </c>
      <c r="U238" s="9">
        <v>-10</v>
      </c>
      <c r="V238" s="9" t="s">
        <v>73</v>
      </c>
      <c r="W238" s="9" t="s">
        <v>43</v>
      </c>
    </row>
    <row r="239" spans="2:23" x14ac:dyDescent="0.3">
      <c r="B239" s="10" t="s">
        <v>110</v>
      </c>
      <c r="C239" s="6" t="s">
        <v>53</v>
      </c>
      <c r="D239" s="6" t="s">
        <v>101</v>
      </c>
      <c r="E239" s="6">
        <v>895.3</v>
      </c>
      <c r="F239" s="17"/>
      <c r="G239" s="6">
        <v>904.7</v>
      </c>
      <c r="H239" s="6" t="s">
        <v>54</v>
      </c>
      <c r="I239" s="6" t="str">
        <f t="shared" si="46"/>
        <v>Not Done</v>
      </c>
      <c r="P239" s="9" t="s">
        <v>102</v>
      </c>
      <c r="Q239" s="9">
        <v>3</v>
      </c>
      <c r="R239" s="9" t="s">
        <v>42</v>
      </c>
      <c r="S239" s="9">
        <v>1E-3</v>
      </c>
      <c r="T239" s="9">
        <v>0.9</v>
      </c>
      <c r="U239" s="9">
        <v>0.9</v>
      </c>
      <c r="V239" s="9" t="s">
        <v>73</v>
      </c>
      <c r="W239" s="9">
        <v>50</v>
      </c>
    </row>
    <row r="240" spans="2:23" x14ac:dyDescent="0.3">
      <c r="B240" s="10" t="s">
        <v>110</v>
      </c>
      <c r="C240" s="6" t="s">
        <v>53</v>
      </c>
      <c r="D240" s="6" t="s">
        <v>133</v>
      </c>
      <c r="E240" s="6">
        <v>-0.2</v>
      </c>
      <c r="F240" s="8"/>
      <c r="G240" s="6">
        <v>0.2</v>
      </c>
      <c r="H240" s="6" t="s">
        <v>54</v>
      </c>
      <c r="I240" s="6" t="str">
        <f t="shared" si="46"/>
        <v>Not Done</v>
      </c>
      <c r="P240" s="9" t="s">
        <v>102</v>
      </c>
      <c r="Q240" s="9">
        <v>3</v>
      </c>
      <c r="R240" s="9" t="s">
        <v>42</v>
      </c>
      <c r="S240" s="9">
        <v>1E-3</v>
      </c>
      <c r="T240" s="9">
        <v>0</v>
      </c>
      <c r="U240" s="9">
        <v>0</v>
      </c>
      <c r="V240" s="9" t="s">
        <v>73</v>
      </c>
      <c r="W240" s="9">
        <v>50</v>
      </c>
    </row>
    <row r="241" spans="2:23" x14ac:dyDescent="0.3">
      <c r="B241" s="10" t="s">
        <v>110</v>
      </c>
      <c r="C241" s="6" t="s">
        <v>53</v>
      </c>
      <c r="D241" s="6" t="s">
        <v>103</v>
      </c>
      <c r="E241" s="6">
        <v>-904.7</v>
      </c>
      <c r="F241" s="17"/>
      <c r="G241" s="6">
        <v>-895.3</v>
      </c>
      <c r="H241" s="6" t="s">
        <v>54</v>
      </c>
      <c r="I241" s="6" t="str">
        <f t="shared" si="46"/>
        <v>Not Done</v>
      </c>
      <c r="P241" s="9" t="s">
        <v>102</v>
      </c>
      <c r="Q241" s="9">
        <v>3</v>
      </c>
      <c r="R241" s="9" t="s">
        <v>42</v>
      </c>
      <c r="S241" s="9">
        <v>1E-3</v>
      </c>
      <c r="T241" s="9">
        <v>-0.9</v>
      </c>
      <c r="U241" s="9">
        <v>-0.9</v>
      </c>
      <c r="V241" s="9" t="s">
        <v>73</v>
      </c>
      <c r="W241" s="9">
        <v>50</v>
      </c>
    </row>
    <row r="242" spans="2:23" x14ac:dyDescent="0.3">
      <c r="B242" s="10" t="s">
        <v>110</v>
      </c>
      <c r="C242" s="6" t="s">
        <v>59</v>
      </c>
      <c r="D242" s="6" t="s">
        <v>163</v>
      </c>
      <c r="E242" s="6">
        <v>2.97</v>
      </c>
      <c r="F242" s="8"/>
      <c r="G242" s="6">
        <v>3.03</v>
      </c>
      <c r="H242" s="6" t="s">
        <v>62</v>
      </c>
      <c r="I242" s="6" t="str">
        <f t="shared" si="46"/>
        <v>Not Done</v>
      </c>
      <c r="P242" s="9" t="s">
        <v>102</v>
      </c>
      <c r="Q242" s="9">
        <v>3</v>
      </c>
      <c r="R242" s="9" t="s">
        <v>42</v>
      </c>
      <c r="S242" s="9">
        <v>0.1</v>
      </c>
      <c r="T242" s="9">
        <v>3</v>
      </c>
      <c r="U242" s="9">
        <v>3</v>
      </c>
      <c r="V242" s="9" t="s">
        <v>73</v>
      </c>
      <c r="W242" s="9">
        <v>50</v>
      </c>
    </row>
    <row r="243" spans="2:23" x14ac:dyDescent="0.3">
      <c r="B243" s="10" t="s">
        <v>110</v>
      </c>
      <c r="C243" s="6" t="s">
        <v>59</v>
      </c>
      <c r="D243" s="6" t="s">
        <v>126</v>
      </c>
      <c r="E243" s="6">
        <v>-0.02</v>
      </c>
      <c r="F243" s="8"/>
      <c r="G243" s="6">
        <v>0.02</v>
      </c>
      <c r="H243" s="6" t="s">
        <v>62</v>
      </c>
      <c r="I243" s="6" t="str">
        <f t="shared" si="46"/>
        <v>Not Done</v>
      </c>
      <c r="P243" s="9" t="s">
        <v>102</v>
      </c>
      <c r="Q243" s="9">
        <v>3</v>
      </c>
      <c r="R243" s="9" t="s">
        <v>42</v>
      </c>
      <c r="S243" s="9">
        <v>0.1</v>
      </c>
      <c r="T243" s="9">
        <v>0</v>
      </c>
      <c r="U243" s="9">
        <v>0</v>
      </c>
      <c r="V243" s="9" t="s">
        <v>73</v>
      </c>
      <c r="W243" s="9">
        <v>50</v>
      </c>
    </row>
    <row r="244" spans="2:23" x14ac:dyDescent="0.3">
      <c r="B244" s="10" t="s">
        <v>110</v>
      </c>
      <c r="C244" s="6" t="s">
        <v>59</v>
      </c>
      <c r="D244" s="11" t="s">
        <v>164</v>
      </c>
      <c r="E244" s="6">
        <v>-3.03</v>
      </c>
      <c r="F244" s="8"/>
      <c r="G244" s="6">
        <v>-2.97</v>
      </c>
      <c r="H244" s="6" t="s">
        <v>62</v>
      </c>
      <c r="I244" s="6" t="str">
        <f t="shared" si="46"/>
        <v>Not Done</v>
      </c>
      <c r="P244" s="9" t="s">
        <v>102</v>
      </c>
      <c r="Q244" s="9">
        <v>3</v>
      </c>
      <c r="R244" s="9" t="s">
        <v>42</v>
      </c>
      <c r="S244" s="9">
        <v>0.1</v>
      </c>
      <c r="T244" s="9">
        <v>-3</v>
      </c>
      <c r="U244" s="9">
        <v>-3</v>
      </c>
      <c r="V244" s="9" t="s">
        <v>73</v>
      </c>
      <c r="W244" s="9">
        <v>50</v>
      </c>
    </row>
    <row r="245" spans="2:23" x14ac:dyDescent="0.3">
      <c r="B245" s="10" t="s">
        <v>111</v>
      </c>
      <c r="C245" s="6" t="s">
        <v>53</v>
      </c>
      <c r="D245" s="6" t="s">
        <v>101</v>
      </c>
      <c r="E245" s="6">
        <v>895.3</v>
      </c>
      <c r="F245" s="17"/>
      <c r="G245" s="6">
        <v>904.7</v>
      </c>
      <c r="H245" s="6" t="s">
        <v>54</v>
      </c>
      <c r="I245" s="6" t="str">
        <f t="shared" si="46"/>
        <v>Not Done</v>
      </c>
      <c r="P245" s="9" t="s">
        <v>102</v>
      </c>
      <c r="Q245" s="9">
        <v>4</v>
      </c>
      <c r="R245" s="9" t="s">
        <v>42</v>
      </c>
      <c r="S245" s="9">
        <v>1E-3</v>
      </c>
      <c r="T245" s="9">
        <v>0.9</v>
      </c>
      <c r="U245" s="9">
        <v>0.9</v>
      </c>
      <c r="V245" s="9" t="s">
        <v>73</v>
      </c>
      <c r="W245" s="9" t="s">
        <v>43</v>
      </c>
    </row>
    <row r="246" spans="2:23" x14ac:dyDescent="0.3">
      <c r="B246" s="10" t="s">
        <v>111</v>
      </c>
      <c r="C246" s="6" t="s">
        <v>53</v>
      </c>
      <c r="D246" s="6" t="s">
        <v>133</v>
      </c>
      <c r="E246" s="6">
        <v>-0.2</v>
      </c>
      <c r="F246" s="8"/>
      <c r="G246" s="6">
        <v>0.2</v>
      </c>
      <c r="H246" s="6" t="s">
        <v>54</v>
      </c>
      <c r="I246" s="6" t="str">
        <f t="shared" si="46"/>
        <v>Not Done</v>
      </c>
      <c r="P246" s="9" t="s">
        <v>102</v>
      </c>
      <c r="Q246" s="9">
        <v>4</v>
      </c>
      <c r="R246" s="9" t="s">
        <v>42</v>
      </c>
      <c r="S246" s="9">
        <v>1E-3</v>
      </c>
      <c r="T246" s="9">
        <v>0</v>
      </c>
      <c r="U246" s="9">
        <v>0</v>
      </c>
      <c r="V246" s="9" t="s">
        <v>73</v>
      </c>
      <c r="W246" s="9" t="s">
        <v>43</v>
      </c>
    </row>
    <row r="247" spans="2:23" x14ac:dyDescent="0.3">
      <c r="B247" s="10" t="s">
        <v>111</v>
      </c>
      <c r="C247" s="6" t="s">
        <v>53</v>
      </c>
      <c r="D247" s="6" t="s">
        <v>103</v>
      </c>
      <c r="E247" s="6">
        <v>-904.7</v>
      </c>
      <c r="F247" s="17"/>
      <c r="G247" s="6">
        <v>-895.3</v>
      </c>
      <c r="H247" s="6" t="s">
        <v>54</v>
      </c>
      <c r="I247" s="6" t="str">
        <f t="shared" si="46"/>
        <v>Not Done</v>
      </c>
      <c r="P247" s="9" t="s">
        <v>102</v>
      </c>
      <c r="Q247" s="9">
        <v>4</v>
      </c>
      <c r="R247" s="9" t="s">
        <v>42</v>
      </c>
      <c r="S247" s="9">
        <v>1E-3</v>
      </c>
      <c r="T247" s="9">
        <v>-0.9</v>
      </c>
      <c r="U247" s="9">
        <v>-0.9</v>
      </c>
      <c r="V247" s="9" t="s">
        <v>73</v>
      </c>
      <c r="W247" s="9" t="s">
        <v>43</v>
      </c>
    </row>
    <row r="248" spans="2:23" x14ac:dyDescent="0.3">
      <c r="B248" s="10" t="s">
        <v>111</v>
      </c>
      <c r="C248" s="6" t="s">
        <v>59</v>
      </c>
      <c r="D248" s="6" t="s">
        <v>67</v>
      </c>
      <c r="E248" s="6">
        <v>0.97499999999999998</v>
      </c>
      <c r="F248" s="8"/>
      <c r="G248" s="6">
        <v>1.0249999999999999</v>
      </c>
      <c r="H248" s="6" t="s">
        <v>62</v>
      </c>
      <c r="I248" s="6" t="str">
        <f t="shared" si="46"/>
        <v>Not Done</v>
      </c>
      <c r="P248" s="9" t="s">
        <v>102</v>
      </c>
      <c r="Q248" s="9">
        <v>4</v>
      </c>
      <c r="R248" s="9" t="s">
        <v>42</v>
      </c>
      <c r="S248" s="9">
        <v>0.1</v>
      </c>
      <c r="T248" s="9">
        <v>1</v>
      </c>
      <c r="U248" s="9">
        <v>1</v>
      </c>
      <c r="V248" s="9" t="s">
        <v>73</v>
      </c>
      <c r="W248" s="9" t="s">
        <v>43</v>
      </c>
    </row>
    <row r="249" spans="2:23" x14ac:dyDescent="0.3">
      <c r="B249" s="10" t="s">
        <v>111</v>
      </c>
      <c r="C249" s="6" t="s">
        <v>59</v>
      </c>
      <c r="D249" s="6" t="s">
        <v>126</v>
      </c>
      <c r="E249" s="6">
        <v>-0.02</v>
      </c>
      <c r="F249" s="18"/>
      <c r="G249" s="6">
        <v>0.02</v>
      </c>
      <c r="H249" s="6" t="s">
        <v>62</v>
      </c>
      <c r="I249" s="6" t="str">
        <f t="shared" si="46"/>
        <v>Not Done</v>
      </c>
      <c r="P249" s="9" t="s">
        <v>102</v>
      </c>
      <c r="Q249" s="9">
        <v>4</v>
      </c>
      <c r="R249" s="9" t="s">
        <v>42</v>
      </c>
      <c r="S249" s="9">
        <v>0.1</v>
      </c>
      <c r="T249" s="9">
        <v>0</v>
      </c>
      <c r="U249" s="9">
        <v>0</v>
      </c>
      <c r="V249" s="9" t="s">
        <v>73</v>
      </c>
      <c r="W249" s="9" t="s">
        <v>43</v>
      </c>
    </row>
    <row r="250" spans="2:23" x14ac:dyDescent="0.3">
      <c r="B250" s="10" t="s">
        <v>111</v>
      </c>
      <c r="C250" s="6" t="s">
        <v>59</v>
      </c>
      <c r="D250" s="11" t="s">
        <v>66</v>
      </c>
      <c r="E250" s="6">
        <v>-1.0249999999999999</v>
      </c>
      <c r="F250" s="8"/>
      <c r="G250" s="6">
        <v>-0.97499999999999998</v>
      </c>
      <c r="H250" s="6" t="s">
        <v>62</v>
      </c>
      <c r="I250" s="6" t="str">
        <f t="shared" si="46"/>
        <v>Not Done</v>
      </c>
      <c r="P250" s="9" t="s">
        <v>102</v>
      </c>
      <c r="Q250" s="9">
        <v>4</v>
      </c>
      <c r="R250" s="9" t="s">
        <v>42</v>
      </c>
      <c r="S250" s="9">
        <v>0.1</v>
      </c>
      <c r="T250" s="9">
        <v>-1</v>
      </c>
      <c r="U250" s="9">
        <v>-1</v>
      </c>
      <c r="V250" s="9" t="s">
        <v>73</v>
      </c>
      <c r="W250" s="9" t="s">
        <v>43</v>
      </c>
    </row>
    <row r="251" spans="2:23" x14ac:dyDescent="0.3">
      <c r="B251" s="10" t="s">
        <v>111</v>
      </c>
      <c r="C251" s="6" t="s">
        <v>60</v>
      </c>
      <c r="D251" s="6" t="s">
        <v>104</v>
      </c>
      <c r="E251" s="6">
        <v>8.8550000000000004</v>
      </c>
      <c r="F251" s="8"/>
      <c r="G251" s="6">
        <v>9.1449999999999996</v>
      </c>
      <c r="H251" s="6" t="s">
        <v>62</v>
      </c>
      <c r="I251" s="6" t="str">
        <f t="shared" si="46"/>
        <v>Not Done</v>
      </c>
      <c r="P251" s="9" t="s">
        <v>102</v>
      </c>
      <c r="Q251" s="9">
        <v>4</v>
      </c>
      <c r="R251" s="9" t="s">
        <v>42</v>
      </c>
      <c r="S251" s="9">
        <v>0.5</v>
      </c>
      <c r="T251" s="9">
        <v>9</v>
      </c>
      <c r="U251" s="9">
        <v>9</v>
      </c>
      <c r="V251" s="9" t="s">
        <v>73</v>
      </c>
      <c r="W251" s="9" t="s">
        <v>43</v>
      </c>
    </row>
    <row r="252" spans="2:23" x14ac:dyDescent="0.3">
      <c r="B252" s="10" t="s">
        <v>111</v>
      </c>
      <c r="C252" s="6" t="s">
        <v>60</v>
      </c>
      <c r="D252" s="6" t="s">
        <v>126</v>
      </c>
      <c r="E252" s="6">
        <v>-0.1</v>
      </c>
      <c r="F252" s="18"/>
      <c r="G252" s="6">
        <v>0.1</v>
      </c>
      <c r="H252" s="6" t="s">
        <v>62</v>
      </c>
      <c r="I252" s="6" t="str">
        <f t="shared" si="46"/>
        <v>Not Done</v>
      </c>
      <c r="P252" s="9" t="s">
        <v>102</v>
      </c>
      <c r="Q252" s="9">
        <v>4</v>
      </c>
      <c r="R252" s="9" t="s">
        <v>42</v>
      </c>
      <c r="S252" s="9">
        <v>0.5</v>
      </c>
      <c r="T252" s="9">
        <v>0</v>
      </c>
      <c r="U252" s="9">
        <v>0</v>
      </c>
      <c r="V252" s="9" t="s">
        <v>73</v>
      </c>
      <c r="W252" s="9" t="s">
        <v>43</v>
      </c>
    </row>
    <row r="253" spans="2:23" x14ac:dyDescent="0.3">
      <c r="B253" s="10" t="s">
        <v>111</v>
      </c>
      <c r="C253" s="6" t="s">
        <v>60</v>
      </c>
      <c r="D253" s="6" t="s">
        <v>105</v>
      </c>
      <c r="E253" s="6">
        <v>-9.1449999999999996</v>
      </c>
      <c r="F253" s="8"/>
      <c r="G253" s="6">
        <v>-8.8550000000000004</v>
      </c>
      <c r="H253" s="6" t="s">
        <v>62</v>
      </c>
      <c r="I253" s="6" t="str">
        <f t="shared" si="46"/>
        <v>Not Done</v>
      </c>
      <c r="P253" s="9" t="s">
        <v>102</v>
      </c>
      <c r="Q253" s="9">
        <v>4</v>
      </c>
      <c r="R253" s="9" t="s">
        <v>42</v>
      </c>
      <c r="S253" s="9">
        <v>0.5</v>
      </c>
      <c r="T253" s="9">
        <v>-9</v>
      </c>
      <c r="U253" s="9">
        <v>-9</v>
      </c>
      <c r="V253" s="9" t="s">
        <v>73</v>
      </c>
      <c r="W253" s="9" t="s">
        <v>43</v>
      </c>
    </row>
    <row r="254" spans="2:23" x14ac:dyDescent="0.3">
      <c r="B254" s="10" t="s">
        <v>111</v>
      </c>
      <c r="C254" s="6" t="s">
        <v>158</v>
      </c>
      <c r="D254" s="6">
        <v>10</v>
      </c>
      <c r="E254" s="6">
        <v>8.9499999999999993</v>
      </c>
      <c r="F254" s="8"/>
      <c r="G254" s="6">
        <v>11.05</v>
      </c>
      <c r="H254" s="6" t="s">
        <v>62</v>
      </c>
      <c r="I254" s="6" t="str">
        <f t="shared" si="46"/>
        <v>Not Done</v>
      </c>
      <c r="P254" s="9" t="s">
        <v>102</v>
      </c>
      <c r="Q254" s="9">
        <v>4</v>
      </c>
      <c r="R254" s="9" t="s">
        <v>42</v>
      </c>
      <c r="S254" s="9">
        <v>5</v>
      </c>
      <c r="T254" s="9">
        <v>10</v>
      </c>
      <c r="U254" s="9">
        <v>10</v>
      </c>
      <c r="V254" s="9" t="s">
        <v>73</v>
      </c>
      <c r="W254" s="9" t="s">
        <v>43</v>
      </c>
    </row>
    <row r="255" spans="2:23" x14ac:dyDescent="0.3">
      <c r="B255" s="10" t="s">
        <v>111</v>
      </c>
      <c r="C255" s="6" t="s">
        <v>158</v>
      </c>
      <c r="D255" s="6" t="s">
        <v>126</v>
      </c>
      <c r="E255" s="8">
        <v>-1</v>
      </c>
      <c r="F255" s="8"/>
      <c r="G255" s="8">
        <v>1</v>
      </c>
      <c r="H255" s="6" t="s">
        <v>62</v>
      </c>
      <c r="I255" s="6" t="str">
        <f t="shared" si="46"/>
        <v>Not Done</v>
      </c>
      <c r="P255" s="9" t="s">
        <v>102</v>
      </c>
      <c r="Q255" s="9">
        <v>4</v>
      </c>
      <c r="R255" s="9" t="s">
        <v>42</v>
      </c>
      <c r="S255" s="9">
        <v>5</v>
      </c>
      <c r="T255" s="9">
        <v>0</v>
      </c>
      <c r="U255" s="9">
        <v>0</v>
      </c>
      <c r="V255" s="9" t="s">
        <v>73</v>
      </c>
      <c r="W255" s="9" t="s">
        <v>43</v>
      </c>
    </row>
    <row r="256" spans="2:23" x14ac:dyDescent="0.3">
      <c r="B256" s="10" t="s">
        <v>111</v>
      </c>
      <c r="C256" s="6" t="s">
        <v>158</v>
      </c>
      <c r="D256" s="11" t="s">
        <v>132</v>
      </c>
      <c r="E256" s="6">
        <v>-11.05</v>
      </c>
      <c r="F256" s="8"/>
      <c r="G256" s="6">
        <v>-8.9499999999999993</v>
      </c>
      <c r="H256" s="6" t="s">
        <v>62</v>
      </c>
      <c r="I256" s="6" t="str">
        <f t="shared" si="46"/>
        <v>Not Done</v>
      </c>
      <c r="P256" s="9" t="s">
        <v>102</v>
      </c>
      <c r="Q256" s="9">
        <v>4</v>
      </c>
      <c r="R256" s="9" t="s">
        <v>42</v>
      </c>
      <c r="S256" s="9">
        <v>5</v>
      </c>
      <c r="T256" s="9">
        <v>-10</v>
      </c>
      <c r="U256" s="9">
        <v>-10</v>
      </c>
      <c r="V256" s="9" t="s">
        <v>73</v>
      </c>
      <c r="W256" s="9" t="s">
        <v>43</v>
      </c>
    </row>
    <row r="257" spans="1:23" x14ac:dyDescent="0.3">
      <c r="B257" s="10" t="s">
        <v>112</v>
      </c>
      <c r="C257" s="6" t="s">
        <v>53</v>
      </c>
      <c r="D257" s="6" t="s">
        <v>101</v>
      </c>
      <c r="E257" s="6">
        <v>895.3</v>
      </c>
      <c r="F257" s="17"/>
      <c r="G257" s="6">
        <v>904.7</v>
      </c>
      <c r="H257" s="6" t="s">
        <v>54</v>
      </c>
      <c r="I257" s="6" t="str">
        <f t="shared" si="46"/>
        <v>Not Done</v>
      </c>
      <c r="P257" s="9" t="s">
        <v>102</v>
      </c>
      <c r="Q257" s="9">
        <v>4</v>
      </c>
      <c r="R257" s="9" t="s">
        <v>42</v>
      </c>
      <c r="S257" s="9">
        <v>1E-3</v>
      </c>
      <c r="T257" s="9">
        <v>0.9</v>
      </c>
      <c r="U257" s="9">
        <v>0.9</v>
      </c>
      <c r="V257" s="9" t="s">
        <v>73</v>
      </c>
      <c r="W257" s="9">
        <v>50</v>
      </c>
    </row>
    <row r="258" spans="1:23" x14ac:dyDescent="0.3">
      <c r="B258" s="10" t="s">
        <v>112</v>
      </c>
      <c r="C258" s="6" t="s">
        <v>53</v>
      </c>
      <c r="D258" s="6" t="s">
        <v>133</v>
      </c>
      <c r="E258" s="6">
        <v>-0.2</v>
      </c>
      <c r="F258" s="8"/>
      <c r="G258" s="6">
        <v>0.2</v>
      </c>
      <c r="H258" s="6" t="s">
        <v>54</v>
      </c>
      <c r="I258" s="6" t="str">
        <f t="shared" si="46"/>
        <v>Not Done</v>
      </c>
      <c r="P258" s="9" t="s">
        <v>102</v>
      </c>
      <c r="Q258" s="9">
        <v>4</v>
      </c>
      <c r="R258" s="9" t="s">
        <v>42</v>
      </c>
      <c r="S258" s="9">
        <v>1E-3</v>
      </c>
      <c r="T258" s="9">
        <v>0</v>
      </c>
      <c r="U258" s="9">
        <v>0</v>
      </c>
      <c r="V258" s="9" t="s">
        <v>73</v>
      </c>
      <c r="W258" s="9">
        <v>50</v>
      </c>
    </row>
    <row r="259" spans="1:23" x14ac:dyDescent="0.3">
      <c r="B259" s="10" t="s">
        <v>112</v>
      </c>
      <c r="C259" s="6" t="s">
        <v>53</v>
      </c>
      <c r="D259" s="6" t="s">
        <v>103</v>
      </c>
      <c r="E259" s="6">
        <v>-904.7</v>
      </c>
      <c r="F259" s="17"/>
      <c r="G259" s="6">
        <v>-895.3</v>
      </c>
      <c r="H259" s="6" t="s">
        <v>54</v>
      </c>
      <c r="I259" s="6" t="str">
        <f t="shared" si="46"/>
        <v>Not Done</v>
      </c>
      <c r="P259" s="9" t="s">
        <v>102</v>
      </c>
      <c r="Q259" s="9">
        <v>4</v>
      </c>
      <c r="R259" s="9" t="s">
        <v>42</v>
      </c>
      <c r="S259" s="9">
        <v>1E-3</v>
      </c>
      <c r="T259" s="9">
        <v>-0.9</v>
      </c>
      <c r="U259" s="9">
        <v>-0.9</v>
      </c>
      <c r="V259" s="9" t="s">
        <v>73</v>
      </c>
      <c r="W259" s="9">
        <v>50</v>
      </c>
    </row>
    <row r="260" spans="1:23" x14ac:dyDescent="0.3">
      <c r="B260" s="10" t="s">
        <v>112</v>
      </c>
      <c r="C260" s="6" t="s">
        <v>59</v>
      </c>
      <c r="D260" s="6" t="s">
        <v>163</v>
      </c>
      <c r="E260" s="6">
        <v>2.97</v>
      </c>
      <c r="F260" s="8"/>
      <c r="G260" s="6">
        <v>3.03</v>
      </c>
      <c r="H260" s="6" t="s">
        <v>62</v>
      </c>
      <c r="I260" s="6" t="str">
        <f t="shared" si="46"/>
        <v>Not Done</v>
      </c>
      <c r="P260" s="9" t="s">
        <v>102</v>
      </c>
      <c r="Q260" s="9">
        <v>4</v>
      </c>
      <c r="R260" s="9" t="s">
        <v>42</v>
      </c>
      <c r="S260" s="9">
        <v>0.1</v>
      </c>
      <c r="T260" s="9">
        <v>3</v>
      </c>
      <c r="U260" s="9">
        <v>3</v>
      </c>
      <c r="V260" s="9" t="s">
        <v>73</v>
      </c>
      <c r="W260" s="9">
        <v>50</v>
      </c>
    </row>
    <row r="261" spans="1:23" x14ac:dyDescent="0.3">
      <c r="B261" s="10" t="s">
        <v>112</v>
      </c>
      <c r="C261" s="6" t="s">
        <v>59</v>
      </c>
      <c r="D261" s="6" t="s">
        <v>126</v>
      </c>
      <c r="E261" s="6">
        <v>-0.02</v>
      </c>
      <c r="F261" s="8"/>
      <c r="G261" s="6">
        <v>0.02</v>
      </c>
      <c r="H261" s="6" t="s">
        <v>62</v>
      </c>
      <c r="I261" s="6" t="str">
        <f t="shared" si="46"/>
        <v>Not Done</v>
      </c>
      <c r="P261" s="9" t="s">
        <v>102</v>
      </c>
      <c r="Q261" s="9">
        <v>4</v>
      </c>
      <c r="R261" s="9" t="s">
        <v>42</v>
      </c>
      <c r="S261" s="9">
        <v>0.1</v>
      </c>
      <c r="T261" s="9">
        <v>0</v>
      </c>
      <c r="U261" s="9">
        <v>0</v>
      </c>
      <c r="V261" s="9" t="s">
        <v>73</v>
      </c>
      <c r="W261" s="9">
        <v>50</v>
      </c>
    </row>
    <row r="262" spans="1:23" x14ac:dyDescent="0.3">
      <c r="B262" s="10" t="s">
        <v>112</v>
      </c>
      <c r="C262" s="6" t="s">
        <v>59</v>
      </c>
      <c r="D262" s="11" t="s">
        <v>164</v>
      </c>
      <c r="E262" s="6">
        <v>-3.03</v>
      </c>
      <c r="F262" s="8"/>
      <c r="G262" s="6">
        <v>-2.97</v>
      </c>
      <c r="H262" s="6" t="s">
        <v>62</v>
      </c>
      <c r="I262" s="6" t="str">
        <f t="shared" si="46"/>
        <v>Not Done</v>
      </c>
      <c r="P262" s="9" t="s">
        <v>102</v>
      </c>
      <c r="Q262" s="9">
        <v>4</v>
      </c>
      <c r="R262" s="9" t="s">
        <v>42</v>
      </c>
      <c r="S262" s="9">
        <v>0.1</v>
      </c>
      <c r="T262" s="9">
        <v>-3</v>
      </c>
      <c r="U262" s="9">
        <v>-3</v>
      </c>
      <c r="V262" s="9" t="s">
        <v>73</v>
      </c>
      <c r="W262" s="9">
        <v>50</v>
      </c>
    </row>
    <row r="263" spans="1:23" x14ac:dyDescent="0.3">
      <c r="A263" s="9">
        <v>6</v>
      </c>
      <c r="B263" s="10" t="s">
        <v>154</v>
      </c>
      <c r="C263" s="6" t="s">
        <v>53</v>
      </c>
      <c r="D263" s="6" t="s">
        <v>101</v>
      </c>
      <c r="E263" s="6">
        <v>895.3</v>
      </c>
      <c r="F263" s="17"/>
      <c r="G263" s="6">
        <v>904.7</v>
      </c>
      <c r="H263" s="6" t="s">
        <v>54</v>
      </c>
      <c r="I263" s="6" t="str">
        <f t="shared" ref="I263:I298" si="47">IF(ISBLANK(F263),"Not Done",IF(AND(F263&lt;=G263,F263&gt;=E263),"Pass","Fail"))</f>
        <v>Not Done</v>
      </c>
      <c r="P263" s="9" t="s">
        <v>102</v>
      </c>
      <c r="Q263" s="9">
        <v>5</v>
      </c>
      <c r="R263" s="9" t="s">
        <v>42</v>
      </c>
      <c r="S263" s="9">
        <v>1E-3</v>
      </c>
      <c r="T263" s="9">
        <v>0.9</v>
      </c>
      <c r="U263" s="9">
        <v>0.9</v>
      </c>
      <c r="V263" s="9" t="s">
        <v>73</v>
      </c>
      <c r="W263" s="9" t="s">
        <v>43</v>
      </c>
    </row>
    <row r="264" spans="1:23" x14ac:dyDescent="0.3">
      <c r="A264" s="9">
        <v>6</v>
      </c>
      <c r="B264" s="10" t="s">
        <v>154</v>
      </c>
      <c r="C264" s="6" t="s">
        <v>53</v>
      </c>
      <c r="D264" s="6" t="s">
        <v>133</v>
      </c>
      <c r="E264" s="6">
        <v>-0.2</v>
      </c>
      <c r="F264" s="8"/>
      <c r="G264" s="6">
        <v>0.2</v>
      </c>
      <c r="H264" s="6" t="s">
        <v>54</v>
      </c>
      <c r="I264" s="6" t="str">
        <f t="shared" si="47"/>
        <v>Not Done</v>
      </c>
      <c r="P264" s="9" t="s">
        <v>102</v>
      </c>
      <c r="Q264" s="9">
        <v>5</v>
      </c>
      <c r="R264" s="9" t="s">
        <v>42</v>
      </c>
      <c r="S264" s="9">
        <v>1E-3</v>
      </c>
      <c r="T264" s="9">
        <v>0</v>
      </c>
      <c r="U264" s="9">
        <v>0</v>
      </c>
      <c r="V264" s="9" t="s">
        <v>73</v>
      </c>
      <c r="W264" s="9" t="s">
        <v>43</v>
      </c>
    </row>
    <row r="265" spans="1:23" x14ac:dyDescent="0.3">
      <c r="A265" s="9">
        <v>6</v>
      </c>
      <c r="B265" s="10" t="s">
        <v>154</v>
      </c>
      <c r="C265" s="6" t="s">
        <v>53</v>
      </c>
      <c r="D265" s="6" t="s">
        <v>103</v>
      </c>
      <c r="E265" s="6">
        <v>-904.7</v>
      </c>
      <c r="F265" s="17"/>
      <c r="G265" s="6">
        <v>-895.3</v>
      </c>
      <c r="H265" s="6" t="s">
        <v>54</v>
      </c>
      <c r="I265" s="6" t="str">
        <f t="shared" si="47"/>
        <v>Not Done</v>
      </c>
      <c r="P265" s="9" t="s">
        <v>102</v>
      </c>
      <c r="Q265" s="9">
        <v>5</v>
      </c>
      <c r="R265" s="9" t="s">
        <v>42</v>
      </c>
      <c r="S265" s="9">
        <v>1E-3</v>
      </c>
      <c r="T265" s="9">
        <v>-0.9</v>
      </c>
      <c r="U265" s="9">
        <v>-0.9</v>
      </c>
      <c r="V265" s="9" t="s">
        <v>73</v>
      </c>
      <c r="W265" s="9" t="s">
        <v>43</v>
      </c>
    </row>
    <row r="266" spans="1:23" x14ac:dyDescent="0.3">
      <c r="A266" s="9">
        <v>6</v>
      </c>
      <c r="B266" s="10" t="s">
        <v>154</v>
      </c>
      <c r="C266" s="6" t="s">
        <v>59</v>
      </c>
      <c r="D266" s="6" t="s">
        <v>67</v>
      </c>
      <c r="E266" s="6">
        <v>0.97499999999999998</v>
      </c>
      <c r="F266" s="8"/>
      <c r="G266" s="6">
        <v>1.0249999999999999</v>
      </c>
      <c r="H266" s="6" t="s">
        <v>62</v>
      </c>
      <c r="I266" s="6" t="str">
        <f t="shared" si="47"/>
        <v>Not Done</v>
      </c>
      <c r="P266" s="9" t="s">
        <v>102</v>
      </c>
      <c r="Q266" s="9">
        <v>5</v>
      </c>
      <c r="R266" s="9" t="s">
        <v>42</v>
      </c>
      <c r="S266" s="9">
        <v>0.1</v>
      </c>
      <c r="T266" s="9">
        <v>1</v>
      </c>
      <c r="U266" s="9">
        <v>1</v>
      </c>
      <c r="V266" s="9" t="s">
        <v>73</v>
      </c>
      <c r="W266" s="9" t="s">
        <v>43</v>
      </c>
    </row>
    <row r="267" spans="1:23" x14ac:dyDescent="0.3">
      <c r="A267" s="9">
        <v>6</v>
      </c>
      <c r="B267" s="10" t="s">
        <v>154</v>
      </c>
      <c r="C267" s="6" t="s">
        <v>59</v>
      </c>
      <c r="D267" s="6" t="s">
        <v>126</v>
      </c>
      <c r="E267" s="6">
        <v>-0.02</v>
      </c>
      <c r="F267" s="18"/>
      <c r="G267" s="6">
        <v>0.02</v>
      </c>
      <c r="H267" s="6" t="s">
        <v>62</v>
      </c>
      <c r="I267" s="6" t="str">
        <f t="shared" si="47"/>
        <v>Not Done</v>
      </c>
      <c r="P267" s="9" t="s">
        <v>102</v>
      </c>
      <c r="Q267" s="9">
        <v>5</v>
      </c>
      <c r="R267" s="9" t="s">
        <v>42</v>
      </c>
      <c r="S267" s="9">
        <v>0.1</v>
      </c>
      <c r="T267" s="9">
        <v>0</v>
      </c>
      <c r="U267" s="9">
        <v>0</v>
      </c>
      <c r="V267" s="9" t="s">
        <v>73</v>
      </c>
      <c r="W267" s="9" t="s">
        <v>43</v>
      </c>
    </row>
    <row r="268" spans="1:23" x14ac:dyDescent="0.3">
      <c r="A268" s="9">
        <v>6</v>
      </c>
      <c r="B268" s="10" t="s">
        <v>154</v>
      </c>
      <c r="C268" s="6" t="s">
        <v>59</v>
      </c>
      <c r="D268" s="11" t="s">
        <v>66</v>
      </c>
      <c r="E268" s="6">
        <v>-1.0249999999999999</v>
      </c>
      <c r="F268" s="8"/>
      <c r="G268" s="6">
        <v>-0.97499999999999998</v>
      </c>
      <c r="H268" s="6" t="s">
        <v>62</v>
      </c>
      <c r="I268" s="6" t="str">
        <f t="shared" si="47"/>
        <v>Not Done</v>
      </c>
      <c r="P268" s="9" t="s">
        <v>102</v>
      </c>
      <c r="Q268" s="9">
        <v>5</v>
      </c>
      <c r="R268" s="9" t="s">
        <v>42</v>
      </c>
      <c r="S268" s="9">
        <v>0.1</v>
      </c>
      <c r="T268" s="9">
        <v>-1</v>
      </c>
      <c r="U268" s="9">
        <v>-1</v>
      </c>
      <c r="V268" s="9" t="s">
        <v>73</v>
      </c>
      <c r="W268" s="9" t="s">
        <v>43</v>
      </c>
    </row>
    <row r="269" spans="1:23" x14ac:dyDescent="0.3">
      <c r="A269" s="9">
        <v>6</v>
      </c>
      <c r="B269" s="10" t="s">
        <v>154</v>
      </c>
      <c r="C269" s="6" t="s">
        <v>60</v>
      </c>
      <c r="D269" s="6" t="s">
        <v>104</v>
      </c>
      <c r="E269" s="6">
        <v>8.8550000000000004</v>
      </c>
      <c r="F269" s="8"/>
      <c r="G269" s="6">
        <v>9.1449999999999996</v>
      </c>
      <c r="H269" s="6" t="s">
        <v>62</v>
      </c>
      <c r="I269" s="6" t="str">
        <f t="shared" si="47"/>
        <v>Not Done</v>
      </c>
      <c r="P269" s="9" t="s">
        <v>102</v>
      </c>
      <c r="Q269" s="9">
        <v>5</v>
      </c>
      <c r="R269" s="9" t="s">
        <v>42</v>
      </c>
      <c r="S269" s="9">
        <v>0.5</v>
      </c>
      <c r="T269" s="9">
        <v>9</v>
      </c>
      <c r="U269" s="9">
        <v>9</v>
      </c>
      <c r="V269" s="9" t="s">
        <v>73</v>
      </c>
      <c r="W269" s="9" t="s">
        <v>43</v>
      </c>
    </row>
    <row r="270" spans="1:23" x14ac:dyDescent="0.3">
      <c r="A270" s="9">
        <v>6</v>
      </c>
      <c r="B270" s="10" t="s">
        <v>154</v>
      </c>
      <c r="C270" s="6" t="s">
        <v>60</v>
      </c>
      <c r="D270" s="6" t="s">
        <v>126</v>
      </c>
      <c r="E270" s="6">
        <v>-0.1</v>
      </c>
      <c r="F270" s="18"/>
      <c r="G270" s="6">
        <v>0.1</v>
      </c>
      <c r="H270" s="6" t="s">
        <v>62</v>
      </c>
      <c r="I270" s="6" t="str">
        <f t="shared" si="47"/>
        <v>Not Done</v>
      </c>
      <c r="P270" s="9" t="s">
        <v>102</v>
      </c>
      <c r="Q270" s="9">
        <v>5</v>
      </c>
      <c r="R270" s="9" t="s">
        <v>42</v>
      </c>
      <c r="S270" s="9">
        <v>0.5</v>
      </c>
      <c r="T270" s="9">
        <v>0</v>
      </c>
      <c r="U270" s="9">
        <v>0</v>
      </c>
      <c r="V270" s="9" t="s">
        <v>73</v>
      </c>
      <c r="W270" s="9" t="s">
        <v>43</v>
      </c>
    </row>
    <row r="271" spans="1:23" x14ac:dyDescent="0.3">
      <c r="A271" s="9">
        <v>6</v>
      </c>
      <c r="B271" s="10" t="s">
        <v>154</v>
      </c>
      <c r="C271" s="6" t="s">
        <v>60</v>
      </c>
      <c r="D271" s="6" t="s">
        <v>105</v>
      </c>
      <c r="E271" s="6">
        <v>-9.1449999999999996</v>
      </c>
      <c r="F271" s="8"/>
      <c r="G271" s="6">
        <v>-8.8550000000000004</v>
      </c>
      <c r="H271" s="6" t="s">
        <v>62</v>
      </c>
      <c r="I271" s="6" t="str">
        <f t="shared" si="47"/>
        <v>Not Done</v>
      </c>
      <c r="P271" s="9" t="s">
        <v>102</v>
      </c>
      <c r="Q271" s="9">
        <v>5</v>
      </c>
      <c r="R271" s="9" t="s">
        <v>42</v>
      </c>
      <c r="S271" s="9">
        <v>0.5</v>
      </c>
      <c r="T271" s="9">
        <v>-9</v>
      </c>
      <c r="U271" s="9">
        <v>-9</v>
      </c>
      <c r="V271" s="9" t="s">
        <v>73</v>
      </c>
      <c r="W271" s="9" t="s">
        <v>43</v>
      </c>
    </row>
    <row r="272" spans="1:23" x14ac:dyDescent="0.3">
      <c r="A272" s="9">
        <v>6</v>
      </c>
      <c r="B272" s="10" t="s">
        <v>154</v>
      </c>
      <c r="C272" s="6" t="s">
        <v>158</v>
      </c>
      <c r="D272" s="6">
        <v>10</v>
      </c>
      <c r="E272" s="6">
        <v>8.9499999999999993</v>
      </c>
      <c r="F272" s="8"/>
      <c r="G272" s="6">
        <v>11.05</v>
      </c>
      <c r="H272" s="6" t="s">
        <v>62</v>
      </c>
      <c r="I272" s="6" t="str">
        <f t="shared" si="47"/>
        <v>Not Done</v>
      </c>
      <c r="P272" s="9" t="s">
        <v>102</v>
      </c>
      <c r="Q272" s="9">
        <v>5</v>
      </c>
      <c r="R272" s="9" t="s">
        <v>42</v>
      </c>
      <c r="S272" s="9">
        <v>5</v>
      </c>
      <c r="T272" s="9">
        <v>10</v>
      </c>
      <c r="U272" s="9">
        <v>10</v>
      </c>
      <c r="V272" s="9" t="s">
        <v>73</v>
      </c>
      <c r="W272" s="9" t="s">
        <v>43</v>
      </c>
    </row>
    <row r="273" spans="1:23" x14ac:dyDescent="0.3">
      <c r="A273" s="9">
        <v>6</v>
      </c>
      <c r="B273" s="10" t="s">
        <v>154</v>
      </c>
      <c r="C273" s="6" t="s">
        <v>158</v>
      </c>
      <c r="D273" s="6" t="s">
        <v>126</v>
      </c>
      <c r="E273" s="8">
        <v>-1</v>
      </c>
      <c r="F273" s="8"/>
      <c r="G273" s="8">
        <v>1</v>
      </c>
      <c r="H273" s="6" t="s">
        <v>62</v>
      </c>
      <c r="I273" s="6" t="str">
        <f t="shared" si="47"/>
        <v>Not Done</v>
      </c>
      <c r="P273" s="9" t="s">
        <v>102</v>
      </c>
      <c r="Q273" s="9">
        <v>5</v>
      </c>
      <c r="R273" s="9" t="s">
        <v>42</v>
      </c>
      <c r="S273" s="9">
        <v>5</v>
      </c>
      <c r="T273" s="9">
        <v>0</v>
      </c>
      <c r="U273" s="9">
        <v>0</v>
      </c>
      <c r="V273" s="9" t="s">
        <v>73</v>
      </c>
      <c r="W273" s="9" t="s">
        <v>43</v>
      </c>
    </row>
    <row r="274" spans="1:23" x14ac:dyDescent="0.3">
      <c r="A274" s="9">
        <v>6</v>
      </c>
      <c r="B274" s="10" t="s">
        <v>154</v>
      </c>
      <c r="C274" s="6" t="s">
        <v>158</v>
      </c>
      <c r="D274" s="11" t="s">
        <v>132</v>
      </c>
      <c r="E274" s="6">
        <v>-11.05</v>
      </c>
      <c r="F274" s="8"/>
      <c r="G274" s="6">
        <v>-8.9499999999999993</v>
      </c>
      <c r="H274" s="6" t="s">
        <v>62</v>
      </c>
      <c r="I274" s="6" t="str">
        <f t="shared" si="47"/>
        <v>Not Done</v>
      </c>
      <c r="P274" s="9" t="s">
        <v>102</v>
      </c>
      <c r="Q274" s="9">
        <v>5</v>
      </c>
      <c r="R274" s="9" t="s">
        <v>42</v>
      </c>
      <c r="S274" s="9">
        <v>5</v>
      </c>
      <c r="T274" s="9">
        <v>-10</v>
      </c>
      <c r="U274" s="9">
        <v>-10</v>
      </c>
      <c r="V274" s="9" t="s">
        <v>73</v>
      </c>
      <c r="W274" s="9" t="s">
        <v>43</v>
      </c>
    </row>
    <row r="275" spans="1:23" x14ac:dyDescent="0.3">
      <c r="A275" s="9">
        <v>6</v>
      </c>
      <c r="B275" s="10" t="s">
        <v>155</v>
      </c>
      <c r="C275" s="6" t="s">
        <v>53</v>
      </c>
      <c r="D275" s="6" t="s">
        <v>101</v>
      </c>
      <c r="E275" s="6">
        <v>895.3</v>
      </c>
      <c r="F275" s="17"/>
      <c r="G275" s="6">
        <v>904.7</v>
      </c>
      <c r="H275" s="6" t="s">
        <v>54</v>
      </c>
      <c r="I275" s="6" t="str">
        <f t="shared" si="47"/>
        <v>Not Done</v>
      </c>
      <c r="P275" s="9" t="s">
        <v>102</v>
      </c>
      <c r="Q275" s="9">
        <v>5</v>
      </c>
      <c r="R275" s="9" t="s">
        <v>42</v>
      </c>
      <c r="S275" s="9">
        <v>1E-3</v>
      </c>
      <c r="T275" s="9">
        <v>0.9</v>
      </c>
      <c r="U275" s="9">
        <v>0.9</v>
      </c>
      <c r="V275" s="9" t="s">
        <v>73</v>
      </c>
      <c r="W275" s="9">
        <v>50</v>
      </c>
    </row>
    <row r="276" spans="1:23" x14ac:dyDescent="0.3">
      <c r="A276" s="9">
        <v>6</v>
      </c>
      <c r="B276" s="10" t="s">
        <v>155</v>
      </c>
      <c r="C276" s="6" t="s">
        <v>53</v>
      </c>
      <c r="D276" s="6" t="s">
        <v>133</v>
      </c>
      <c r="E276" s="6">
        <v>-0.2</v>
      </c>
      <c r="F276" s="8"/>
      <c r="G276" s="6">
        <v>0.2</v>
      </c>
      <c r="H276" s="6" t="s">
        <v>54</v>
      </c>
      <c r="I276" s="6" t="str">
        <f t="shared" si="47"/>
        <v>Not Done</v>
      </c>
      <c r="P276" s="9" t="s">
        <v>102</v>
      </c>
      <c r="Q276" s="9">
        <v>5</v>
      </c>
      <c r="R276" s="9" t="s">
        <v>42</v>
      </c>
      <c r="S276" s="9">
        <v>1E-3</v>
      </c>
      <c r="T276" s="9">
        <v>0</v>
      </c>
      <c r="U276" s="9">
        <v>0</v>
      </c>
      <c r="V276" s="9" t="s">
        <v>73</v>
      </c>
      <c r="W276" s="9">
        <v>50</v>
      </c>
    </row>
    <row r="277" spans="1:23" x14ac:dyDescent="0.3">
      <c r="A277" s="9">
        <v>6</v>
      </c>
      <c r="B277" s="10" t="s">
        <v>155</v>
      </c>
      <c r="C277" s="6" t="s">
        <v>53</v>
      </c>
      <c r="D277" s="6" t="s">
        <v>103</v>
      </c>
      <c r="E277" s="6">
        <v>-904.7</v>
      </c>
      <c r="F277" s="17"/>
      <c r="G277" s="6">
        <v>-895.3</v>
      </c>
      <c r="H277" s="6" t="s">
        <v>54</v>
      </c>
      <c r="I277" s="6" t="str">
        <f t="shared" si="47"/>
        <v>Not Done</v>
      </c>
      <c r="P277" s="9" t="s">
        <v>102</v>
      </c>
      <c r="Q277" s="9">
        <v>5</v>
      </c>
      <c r="R277" s="9" t="s">
        <v>42</v>
      </c>
      <c r="S277" s="9">
        <v>1E-3</v>
      </c>
      <c r="T277" s="9">
        <v>-0.9</v>
      </c>
      <c r="U277" s="9">
        <v>-0.9</v>
      </c>
      <c r="V277" s="9" t="s">
        <v>73</v>
      </c>
      <c r="W277" s="9">
        <v>50</v>
      </c>
    </row>
    <row r="278" spans="1:23" x14ac:dyDescent="0.3">
      <c r="A278" s="9">
        <v>6</v>
      </c>
      <c r="B278" s="10" t="s">
        <v>155</v>
      </c>
      <c r="C278" s="6" t="s">
        <v>59</v>
      </c>
      <c r="D278" s="6" t="s">
        <v>163</v>
      </c>
      <c r="E278" s="6">
        <v>2.97</v>
      </c>
      <c r="F278" s="8"/>
      <c r="G278" s="6">
        <v>3.03</v>
      </c>
      <c r="H278" s="6" t="s">
        <v>62</v>
      </c>
      <c r="I278" s="6" t="str">
        <f t="shared" si="47"/>
        <v>Not Done</v>
      </c>
      <c r="P278" s="9" t="s">
        <v>102</v>
      </c>
      <c r="Q278" s="9">
        <v>5</v>
      </c>
      <c r="R278" s="9" t="s">
        <v>42</v>
      </c>
      <c r="S278" s="9">
        <v>0.1</v>
      </c>
      <c r="T278" s="9">
        <v>3</v>
      </c>
      <c r="U278" s="9">
        <v>3</v>
      </c>
      <c r="V278" s="9" t="s">
        <v>73</v>
      </c>
      <c r="W278" s="9">
        <v>50</v>
      </c>
    </row>
    <row r="279" spans="1:23" x14ac:dyDescent="0.3">
      <c r="A279" s="9">
        <v>6</v>
      </c>
      <c r="B279" s="10" t="s">
        <v>155</v>
      </c>
      <c r="C279" s="6" t="s">
        <v>59</v>
      </c>
      <c r="D279" s="6" t="s">
        <v>126</v>
      </c>
      <c r="E279" s="6">
        <v>-0.02</v>
      </c>
      <c r="F279" s="8"/>
      <c r="G279" s="6">
        <v>0.02</v>
      </c>
      <c r="H279" s="6" t="s">
        <v>62</v>
      </c>
      <c r="I279" s="6" t="str">
        <f t="shared" si="47"/>
        <v>Not Done</v>
      </c>
      <c r="P279" s="9" t="s">
        <v>102</v>
      </c>
      <c r="Q279" s="9">
        <v>5</v>
      </c>
      <c r="R279" s="9" t="s">
        <v>42</v>
      </c>
      <c r="S279" s="9">
        <v>0.1</v>
      </c>
      <c r="T279" s="9">
        <v>0</v>
      </c>
      <c r="U279" s="9">
        <v>0</v>
      </c>
      <c r="V279" s="9" t="s">
        <v>73</v>
      </c>
      <c r="W279" s="9">
        <v>50</v>
      </c>
    </row>
    <row r="280" spans="1:23" x14ac:dyDescent="0.3">
      <c r="A280" s="9">
        <v>6</v>
      </c>
      <c r="B280" s="10" t="s">
        <v>155</v>
      </c>
      <c r="C280" s="6" t="s">
        <v>59</v>
      </c>
      <c r="D280" s="11" t="s">
        <v>164</v>
      </c>
      <c r="E280" s="6">
        <v>-3.03</v>
      </c>
      <c r="F280" s="8"/>
      <c r="G280" s="6">
        <v>-2.97</v>
      </c>
      <c r="H280" s="6" t="s">
        <v>62</v>
      </c>
      <c r="I280" s="6" t="str">
        <f t="shared" si="47"/>
        <v>Not Done</v>
      </c>
      <c r="P280" s="9" t="s">
        <v>102</v>
      </c>
      <c r="Q280" s="9">
        <v>5</v>
      </c>
      <c r="R280" s="9" t="s">
        <v>42</v>
      </c>
      <c r="S280" s="9">
        <v>0.1</v>
      </c>
      <c r="T280" s="9">
        <v>-3</v>
      </c>
      <c r="U280" s="9">
        <v>-3</v>
      </c>
      <c r="V280" s="9" t="s">
        <v>73</v>
      </c>
      <c r="W280" s="9">
        <v>50</v>
      </c>
    </row>
    <row r="281" spans="1:23" x14ac:dyDescent="0.3">
      <c r="A281" s="9">
        <v>6</v>
      </c>
      <c r="B281" s="10" t="s">
        <v>152</v>
      </c>
      <c r="C281" s="6" t="s">
        <v>53</v>
      </c>
      <c r="D281" s="6" t="s">
        <v>101</v>
      </c>
      <c r="E281" s="6">
        <v>895.3</v>
      </c>
      <c r="F281" s="17"/>
      <c r="G281" s="6">
        <v>904.7</v>
      </c>
      <c r="H281" s="6" t="s">
        <v>54</v>
      </c>
      <c r="I281" s="6" t="str">
        <f t="shared" si="47"/>
        <v>Not Done</v>
      </c>
      <c r="P281" s="9" t="s">
        <v>102</v>
      </c>
      <c r="Q281" s="9">
        <v>6</v>
      </c>
      <c r="R281" s="9" t="s">
        <v>42</v>
      </c>
      <c r="S281" s="9">
        <v>1E-3</v>
      </c>
      <c r="T281" s="9">
        <v>0.9</v>
      </c>
      <c r="U281" s="9">
        <v>0.9</v>
      </c>
      <c r="V281" s="9" t="s">
        <v>73</v>
      </c>
      <c r="W281" s="9" t="s">
        <v>43</v>
      </c>
    </row>
    <row r="282" spans="1:23" x14ac:dyDescent="0.3">
      <c r="A282" s="9">
        <v>6</v>
      </c>
      <c r="B282" s="10" t="s">
        <v>152</v>
      </c>
      <c r="C282" s="6" t="s">
        <v>53</v>
      </c>
      <c r="D282" s="6" t="s">
        <v>133</v>
      </c>
      <c r="E282" s="6">
        <v>-0.2</v>
      </c>
      <c r="F282" s="8"/>
      <c r="G282" s="6">
        <v>0.2</v>
      </c>
      <c r="H282" s="6" t="s">
        <v>54</v>
      </c>
      <c r="I282" s="6" t="str">
        <f t="shared" si="47"/>
        <v>Not Done</v>
      </c>
      <c r="P282" s="9" t="s">
        <v>102</v>
      </c>
      <c r="Q282" s="9">
        <v>6</v>
      </c>
      <c r="R282" s="9" t="s">
        <v>42</v>
      </c>
      <c r="S282" s="9">
        <v>1E-3</v>
      </c>
      <c r="T282" s="9">
        <v>0</v>
      </c>
      <c r="U282" s="9">
        <v>0</v>
      </c>
      <c r="V282" s="9" t="s">
        <v>73</v>
      </c>
      <c r="W282" s="9" t="s">
        <v>43</v>
      </c>
    </row>
    <row r="283" spans="1:23" x14ac:dyDescent="0.3">
      <c r="A283" s="9">
        <v>6</v>
      </c>
      <c r="B283" s="10" t="s">
        <v>152</v>
      </c>
      <c r="C283" s="6" t="s">
        <v>53</v>
      </c>
      <c r="D283" s="6" t="s">
        <v>103</v>
      </c>
      <c r="E283" s="6">
        <v>-904.7</v>
      </c>
      <c r="F283" s="17"/>
      <c r="G283" s="6">
        <v>-895.3</v>
      </c>
      <c r="H283" s="6" t="s">
        <v>54</v>
      </c>
      <c r="I283" s="6" t="str">
        <f t="shared" si="47"/>
        <v>Not Done</v>
      </c>
      <c r="P283" s="9" t="s">
        <v>102</v>
      </c>
      <c r="Q283" s="9">
        <v>6</v>
      </c>
      <c r="R283" s="9" t="s">
        <v>42</v>
      </c>
      <c r="S283" s="9">
        <v>1E-3</v>
      </c>
      <c r="T283" s="9">
        <v>-0.9</v>
      </c>
      <c r="U283" s="9">
        <v>-0.9</v>
      </c>
      <c r="V283" s="9" t="s">
        <v>73</v>
      </c>
      <c r="W283" s="9" t="s">
        <v>43</v>
      </c>
    </row>
    <row r="284" spans="1:23" x14ac:dyDescent="0.3">
      <c r="A284" s="9">
        <v>6</v>
      </c>
      <c r="B284" s="10" t="s">
        <v>152</v>
      </c>
      <c r="C284" s="6" t="s">
        <v>59</v>
      </c>
      <c r="D284" s="6" t="s">
        <v>67</v>
      </c>
      <c r="E284" s="6">
        <v>0.97499999999999998</v>
      </c>
      <c r="F284" s="8"/>
      <c r="G284" s="6">
        <v>1.0249999999999999</v>
      </c>
      <c r="H284" s="6" t="s">
        <v>62</v>
      </c>
      <c r="I284" s="6" t="str">
        <f t="shared" si="47"/>
        <v>Not Done</v>
      </c>
      <c r="P284" s="9" t="s">
        <v>102</v>
      </c>
      <c r="Q284" s="9">
        <v>6</v>
      </c>
      <c r="R284" s="9" t="s">
        <v>42</v>
      </c>
      <c r="S284" s="9">
        <v>0.1</v>
      </c>
      <c r="T284" s="9">
        <v>1</v>
      </c>
      <c r="U284" s="9">
        <v>1</v>
      </c>
      <c r="V284" s="9" t="s">
        <v>73</v>
      </c>
      <c r="W284" s="9" t="s">
        <v>43</v>
      </c>
    </row>
    <row r="285" spans="1:23" x14ac:dyDescent="0.3">
      <c r="A285" s="9">
        <v>6</v>
      </c>
      <c r="B285" s="10" t="s">
        <v>152</v>
      </c>
      <c r="C285" s="6" t="s">
        <v>59</v>
      </c>
      <c r="D285" s="6" t="s">
        <v>126</v>
      </c>
      <c r="E285" s="6">
        <v>-0.02</v>
      </c>
      <c r="F285" s="18"/>
      <c r="G285" s="6">
        <v>0.02</v>
      </c>
      <c r="H285" s="6" t="s">
        <v>62</v>
      </c>
      <c r="I285" s="6" t="str">
        <f t="shared" si="47"/>
        <v>Not Done</v>
      </c>
      <c r="P285" s="9" t="s">
        <v>102</v>
      </c>
      <c r="Q285" s="9">
        <v>6</v>
      </c>
      <c r="R285" s="9" t="s">
        <v>42</v>
      </c>
      <c r="S285" s="9">
        <v>0.1</v>
      </c>
      <c r="T285" s="9">
        <v>0</v>
      </c>
      <c r="U285" s="9">
        <v>0</v>
      </c>
      <c r="V285" s="9" t="s">
        <v>73</v>
      </c>
      <c r="W285" s="9" t="s">
        <v>43</v>
      </c>
    </row>
    <row r="286" spans="1:23" x14ac:dyDescent="0.3">
      <c r="A286" s="9">
        <v>6</v>
      </c>
      <c r="B286" s="10" t="s">
        <v>152</v>
      </c>
      <c r="C286" s="6" t="s">
        <v>59</v>
      </c>
      <c r="D286" s="11" t="s">
        <v>66</v>
      </c>
      <c r="E286" s="6">
        <v>-1.0249999999999999</v>
      </c>
      <c r="F286" s="8"/>
      <c r="G286" s="6">
        <v>-0.97499999999999998</v>
      </c>
      <c r="H286" s="6" t="s">
        <v>62</v>
      </c>
      <c r="I286" s="6" t="str">
        <f t="shared" si="47"/>
        <v>Not Done</v>
      </c>
      <c r="P286" s="9" t="s">
        <v>102</v>
      </c>
      <c r="Q286" s="9">
        <v>6</v>
      </c>
      <c r="R286" s="9" t="s">
        <v>42</v>
      </c>
      <c r="S286" s="9">
        <v>0.1</v>
      </c>
      <c r="T286" s="9">
        <v>-1</v>
      </c>
      <c r="U286" s="9">
        <v>-1</v>
      </c>
      <c r="V286" s="9" t="s">
        <v>73</v>
      </c>
      <c r="W286" s="9" t="s">
        <v>43</v>
      </c>
    </row>
    <row r="287" spans="1:23" x14ac:dyDescent="0.3">
      <c r="A287" s="9">
        <v>6</v>
      </c>
      <c r="B287" s="10" t="s">
        <v>152</v>
      </c>
      <c r="C287" s="6" t="s">
        <v>60</v>
      </c>
      <c r="D287" s="6" t="s">
        <v>104</v>
      </c>
      <c r="E287" s="6">
        <v>8.8550000000000004</v>
      </c>
      <c r="F287" s="8"/>
      <c r="G287" s="6">
        <v>9.1449999999999996</v>
      </c>
      <c r="H287" s="6" t="s">
        <v>62</v>
      </c>
      <c r="I287" s="6" t="str">
        <f t="shared" si="47"/>
        <v>Not Done</v>
      </c>
      <c r="P287" s="9" t="s">
        <v>102</v>
      </c>
      <c r="Q287" s="9">
        <v>6</v>
      </c>
      <c r="R287" s="9" t="s">
        <v>42</v>
      </c>
      <c r="S287" s="9">
        <v>0.5</v>
      </c>
      <c r="T287" s="9">
        <v>9</v>
      </c>
      <c r="U287" s="9">
        <v>9</v>
      </c>
      <c r="V287" s="9" t="s">
        <v>73</v>
      </c>
      <c r="W287" s="9" t="s">
        <v>43</v>
      </c>
    </row>
    <row r="288" spans="1:23" x14ac:dyDescent="0.3">
      <c r="A288" s="9">
        <v>6</v>
      </c>
      <c r="B288" s="10" t="s">
        <v>152</v>
      </c>
      <c r="C288" s="6" t="s">
        <v>60</v>
      </c>
      <c r="D288" s="6" t="s">
        <v>126</v>
      </c>
      <c r="E288" s="6">
        <v>-0.1</v>
      </c>
      <c r="F288" s="18"/>
      <c r="G288" s="6">
        <v>0.1</v>
      </c>
      <c r="H288" s="6" t="s">
        <v>62</v>
      </c>
      <c r="I288" s="6" t="str">
        <f t="shared" si="47"/>
        <v>Not Done</v>
      </c>
      <c r="P288" s="9" t="s">
        <v>102</v>
      </c>
      <c r="Q288" s="9">
        <v>6</v>
      </c>
      <c r="R288" s="9" t="s">
        <v>42</v>
      </c>
      <c r="S288" s="9">
        <v>0.5</v>
      </c>
      <c r="T288" s="9">
        <v>0</v>
      </c>
      <c r="U288" s="9">
        <v>0</v>
      </c>
      <c r="V288" s="9" t="s">
        <v>73</v>
      </c>
      <c r="W288" s="9" t="s">
        <v>43</v>
      </c>
    </row>
    <row r="289" spans="1:23" x14ac:dyDescent="0.3">
      <c r="A289" s="9">
        <v>6</v>
      </c>
      <c r="B289" s="10" t="s">
        <v>152</v>
      </c>
      <c r="C289" s="6" t="s">
        <v>60</v>
      </c>
      <c r="D289" s="6" t="s">
        <v>105</v>
      </c>
      <c r="E289" s="6">
        <v>-9.1449999999999996</v>
      </c>
      <c r="F289" s="8"/>
      <c r="G289" s="6">
        <v>-8.8550000000000004</v>
      </c>
      <c r="H289" s="6" t="s">
        <v>62</v>
      </c>
      <c r="I289" s="6" t="str">
        <f t="shared" si="47"/>
        <v>Not Done</v>
      </c>
      <c r="P289" s="9" t="s">
        <v>102</v>
      </c>
      <c r="Q289" s="9">
        <v>6</v>
      </c>
      <c r="R289" s="9" t="s">
        <v>42</v>
      </c>
      <c r="S289" s="9">
        <v>0.5</v>
      </c>
      <c r="T289" s="9">
        <v>-9</v>
      </c>
      <c r="U289" s="9">
        <v>-9</v>
      </c>
      <c r="V289" s="9" t="s">
        <v>73</v>
      </c>
      <c r="W289" s="9" t="s">
        <v>43</v>
      </c>
    </row>
    <row r="290" spans="1:23" x14ac:dyDescent="0.3">
      <c r="A290" s="9">
        <v>6</v>
      </c>
      <c r="B290" s="10" t="s">
        <v>152</v>
      </c>
      <c r="C290" s="6" t="s">
        <v>158</v>
      </c>
      <c r="D290" s="6">
        <v>10</v>
      </c>
      <c r="E290" s="6">
        <v>8.9499999999999993</v>
      </c>
      <c r="F290" s="8"/>
      <c r="G290" s="6">
        <v>11.05</v>
      </c>
      <c r="H290" s="6" t="s">
        <v>62</v>
      </c>
      <c r="I290" s="6" t="str">
        <f t="shared" si="47"/>
        <v>Not Done</v>
      </c>
      <c r="P290" s="9" t="s">
        <v>102</v>
      </c>
      <c r="Q290" s="9">
        <v>6</v>
      </c>
      <c r="R290" s="9" t="s">
        <v>42</v>
      </c>
      <c r="S290" s="9">
        <v>5</v>
      </c>
      <c r="T290" s="9">
        <v>10</v>
      </c>
      <c r="U290" s="9">
        <v>10</v>
      </c>
      <c r="V290" s="9" t="s">
        <v>73</v>
      </c>
      <c r="W290" s="9" t="s">
        <v>43</v>
      </c>
    </row>
    <row r="291" spans="1:23" x14ac:dyDescent="0.3">
      <c r="A291" s="9">
        <v>6</v>
      </c>
      <c r="B291" s="10" t="s">
        <v>152</v>
      </c>
      <c r="C291" s="6" t="s">
        <v>158</v>
      </c>
      <c r="D291" s="6" t="s">
        <v>126</v>
      </c>
      <c r="E291" s="8">
        <v>-1</v>
      </c>
      <c r="F291" s="8"/>
      <c r="G291" s="8">
        <v>1</v>
      </c>
      <c r="H291" s="6" t="s">
        <v>62</v>
      </c>
      <c r="I291" s="6" t="str">
        <f t="shared" si="47"/>
        <v>Not Done</v>
      </c>
      <c r="P291" s="9" t="s">
        <v>102</v>
      </c>
      <c r="Q291" s="9">
        <v>6</v>
      </c>
      <c r="R291" s="9" t="s">
        <v>42</v>
      </c>
      <c r="S291" s="9">
        <v>5</v>
      </c>
      <c r="T291" s="9">
        <v>0</v>
      </c>
      <c r="U291" s="9">
        <v>0</v>
      </c>
      <c r="V291" s="9" t="s">
        <v>73</v>
      </c>
      <c r="W291" s="9" t="s">
        <v>43</v>
      </c>
    </row>
    <row r="292" spans="1:23" x14ac:dyDescent="0.3">
      <c r="A292" s="9">
        <v>6</v>
      </c>
      <c r="B292" s="10" t="s">
        <v>152</v>
      </c>
      <c r="C292" s="6" t="s">
        <v>158</v>
      </c>
      <c r="D292" s="11" t="s">
        <v>132</v>
      </c>
      <c r="E292" s="6">
        <v>-11.05</v>
      </c>
      <c r="F292" s="8"/>
      <c r="G292" s="6">
        <v>-8.9499999999999993</v>
      </c>
      <c r="H292" s="6" t="s">
        <v>62</v>
      </c>
      <c r="I292" s="6" t="str">
        <f t="shared" si="47"/>
        <v>Not Done</v>
      </c>
      <c r="P292" s="9" t="s">
        <v>102</v>
      </c>
      <c r="Q292" s="9">
        <v>6</v>
      </c>
      <c r="R292" s="9" t="s">
        <v>42</v>
      </c>
      <c r="S292" s="9">
        <v>5</v>
      </c>
      <c r="T292" s="9">
        <v>-10</v>
      </c>
      <c r="U292" s="9">
        <v>-10</v>
      </c>
      <c r="V292" s="9" t="s">
        <v>73</v>
      </c>
      <c r="W292" s="9" t="s">
        <v>43</v>
      </c>
    </row>
    <row r="293" spans="1:23" x14ac:dyDescent="0.3">
      <c r="A293" s="9">
        <v>6</v>
      </c>
      <c r="B293" s="10" t="s">
        <v>153</v>
      </c>
      <c r="C293" s="6" t="s">
        <v>53</v>
      </c>
      <c r="D293" s="6" t="s">
        <v>101</v>
      </c>
      <c r="E293" s="6">
        <v>895.3</v>
      </c>
      <c r="F293" s="17"/>
      <c r="G293" s="6">
        <v>904.7</v>
      </c>
      <c r="H293" s="6" t="s">
        <v>54</v>
      </c>
      <c r="I293" s="6" t="str">
        <f t="shared" si="47"/>
        <v>Not Done</v>
      </c>
      <c r="P293" s="9" t="s">
        <v>102</v>
      </c>
      <c r="Q293" s="9">
        <v>6</v>
      </c>
      <c r="R293" s="9" t="s">
        <v>42</v>
      </c>
      <c r="S293" s="9">
        <v>1E-3</v>
      </c>
      <c r="T293" s="9">
        <v>0.9</v>
      </c>
      <c r="U293" s="9">
        <v>0.9</v>
      </c>
      <c r="V293" s="9" t="s">
        <v>73</v>
      </c>
      <c r="W293" s="9">
        <v>50</v>
      </c>
    </row>
    <row r="294" spans="1:23" x14ac:dyDescent="0.3">
      <c r="A294" s="9">
        <v>6</v>
      </c>
      <c r="B294" s="10" t="s">
        <v>153</v>
      </c>
      <c r="C294" s="6" t="s">
        <v>53</v>
      </c>
      <c r="D294" s="6" t="s">
        <v>133</v>
      </c>
      <c r="E294" s="6">
        <v>-0.2</v>
      </c>
      <c r="F294" s="8"/>
      <c r="G294" s="6">
        <v>0.2</v>
      </c>
      <c r="H294" s="6" t="s">
        <v>54</v>
      </c>
      <c r="I294" s="6" t="str">
        <f t="shared" si="47"/>
        <v>Not Done</v>
      </c>
      <c r="P294" s="9" t="s">
        <v>102</v>
      </c>
      <c r="Q294" s="9">
        <v>6</v>
      </c>
      <c r="R294" s="9" t="s">
        <v>42</v>
      </c>
      <c r="S294" s="9">
        <v>1E-3</v>
      </c>
      <c r="T294" s="9">
        <v>0</v>
      </c>
      <c r="U294" s="9">
        <v>0</v>
      </c>
      <c r="V294" s="9" t="s">
        <v>73</v>
      </c>
      <c r="W294" s="9">
        <v>50</v>
      </c>
    </row>
    <row r="295" spans="1:23" x14ac:dyDescent="0.3">
      <c r="A295" s="9">
        <v>6</v>
      </c>
      <c r="B295" s="10" t="s">
        <v>153</v>
      </c>
      <c r="C295" s="6" t="s">
        <v>53</v>
      </c>
      <c r="D295" s="6" t="s">
        <v>103</v>
      </c>
      <c r="E295" s="6">
        <v>-904.7</v>
      </c>
      <c r="F295" s="17"/>
      <c r="G295" s="6">
        <v>-895.3</v>
      </c>
      <c r="H295" s="6" t="s">
        <v>54</v>
      </c>
      <c r="I295" s="6" t="str">
        <f t="shared" si="47"/>
        <v>Not Done</v>
      </c>
      <c r="P295" s="9" t="s">
        <v>102</v>
      </c>
      <c r="Q295" s="9">
        <v>6</v>
      </c>
      <c r="R295" s="9" t="s">
        <v>42</v>
      </c>
      <c r="S295" s="9">
        <v>1E-3</v>
      </c>
      <c r="T295" s="9">
        <v>-0.9</v>
      </c>
      <c r="U295" s="9">
        <v>-0.9</v>
      </c>
      <c r="V295" s="9" t="s">
        <v>73</v>
      </c>
      <c r="W295" s="9">
        <v>50</v>
      </c>
    </row>
    <row r="296" spans="1:23" x14ac:dyDescent="0.3">
      <c r="A296" s="9">
        <v>6</v>
      </c>
      <c r="B296" s="10" t="s">
        <v>153</v>
      </c>
      <c r="C296" s="6" t="s">
        <v>59</v>
      </c>
      <c r="D296" s="6" t="s">
        <v>163</v>
      </c>
      <c r="E296" s="6">
        <v>2.97</v>
      </c>
      <c r="F296" s="8"/>
      <c r="G296" s="6">
        <v>3.03</v>
      </c>
      <c r="H296" s="6" t="s">
        <v>62</v>
      </c>
      <c r="I296" s="6" t="str">
        <f t="shared" si="47"/>
        <v>Not Done</v>
      </c>
      <c r="P296" s="9" t="s">
        <v>102</v>
      </c>
      <c r="Q296" s="9">
        <v>6</v>
      </c>
      <c r="R296" s="9" t="s">
        <v>42</v>
      </c>
      <c r="S296" s="9">
        <v>0.1</v>
      </c>
      <c r="T296" s="9">
        <v>3</v>
      </c>
      <c r="U296" s="9">
        <v>3</v>
      </c>
      <c r="V296" s="9" t="s">
        <v>73</v>
      </c>
      <c r="W296" s="9">
        <v>50</v>
      </c>
    </row>
    <row r="297" spans="1:23" x14ac:dyDescent="0.3">
      <c r="A297" s="9">
        <v>6</v>
      </c>
      <c r="B297" s="10" t="s">
        <v>153</v>
      </c>
      <c r="C297" s="6" t="s">
        <v>59</v>
      </c>
      <c r="D297" s="6" t="s">
        <v>126</v>
      </c>
      <c r="E297" s="6">
        <v>-0.02</v>
      </c>
      <c r="F297" s="8"/>
      <c r="G297" s="6">
        <v>0.02</v>
      </c>
      <c r="H297" s="6" t="s">
        <v>62</v>
      </c>
      <c r="I297" s="6" t="str">
        <f t="shared" si="47"/>
        <v>Not Done</v>
      </c>
      <c r="P297" s="9" t="s">
        <v>102</v>
      </c>
      <c r="Q297" s="9">
        <v>6</v>
      </c>
      <c r="R297" s="9" t="s">
        <v>42</v>
      </c>
      <c r="S297" s="9">
        <v>0.1</v>
      </c>
      <c r="T297" s="9">
        <v>0</v>
      </c>
      <c r="U297" s="9">
        <v>0</v>
      </c>
      <c r="V297" s="9" t="s">
        <v>73</v>
      </c>
      <c r="W297" s="9">
        <v>50</v>
      </c>
    </row>
    <row r="298" spans="1:23" x14ac:dyDescent="0.3">
      <c r="A298" s="9">
        <v>6</v>
      </c>
      <c r="B298" s="10" t="s">
        <v>153</v>
      </c>
      <c r="C298" s="6" t="s">
        <v>59</v>
      </c>
      <c r="D298" s="11" t="s">
        <v>164</v>
      </c>
      <c r="E298" s="6">
        <v>-3.03</v>
      </c>
      <c r="F298" s="8"/>
      <c r="G298" s="6">
        <v>-2.97</v>
      </c>
      <c r="H298" s="6" t="s">
        <v>62</v>
      </c>
      <c r="I298" s="6" t="str">
        <f t="shared" si="47"/>
        <v>Not Done</v>
      </c>
      <c r="P298" s="9" t="s">
        <v>102</v>
      </c>
      <c r="Q298" s="9">
        <v>6</v>
      </c>
      <c r="R298" s="9" t="s">
        <v>42</v>
      </c>
      <c r="S298" s="9">
        <v>0.1</v>
      </c>
      <c r="T298" s="9">
        <v>-3</v>
      </c>
      <c r="U298" s="9">
        <v>-3</v>
      </c>
      <c r="V298" s="9" t="s">
        <v>73</v>
      </c>
      <c r="W298" s="9">
        <v>50</v>
      </c>
    </row>
    <row r="300" spans="1:23" ht="15.75" customHeight="1" x14ac:dyDescent="0.3">
      <c r="B300" s="4" t="s">
        <v>113</v>
      </c>
    </row>
    <row r="301" spans="1:23" ht="30" customHeight="1" x14ac:dyDescent="0.3">
      <c r="B301" s="12" t="s">
        <v>20</v>
      </c>
      <c r="C301" s="13" t="s">
        <v>114</v>
      </c>
      <c r="D301" s="12" t="s">
        <v>34</v>
      </c>
      <c r="E301" s="13" t="s">
        <v>115</v>
      </c>
      <c r="F301" s="12" t="s">
        <v>37</v>
      </c>
      <c r="G301" s="12" t="s">
        <v>21</v>
      </c>
      <c r="L301" s="9"/>
      <c r="M301" s="9"/>
      <c r="N301" s="9"/>
      <c r="O301" s="9"/>
      <c r="R301" s="9" t="s">
        <v>116</v>
      </c>
    </row>
    <row r="302" spans="1:23" x14ac:dyDescent="0.3">
      <c r="B302" s="10" t="s">
        <v>117</v>
      </c>
      <c r="C302" s="19"/>
      <c r="D302" s="6">
        <v>1000</v>
      </c>
      <c r="E302" s="14" t="str">
        <f t="shared" ref="E302:E307" si="48">IFERROR((350/C302),"Not Done")</f>
        <v>Not Done</v>
      </c>
      <c r="F302" s="6" t="s">
        <v>118</v>
      </c>
      <c r="G302" s="6" t="str">
        <f t="shared" ref="G302:G307" si="49">IF(ISBLANK(C302),"Not Done",IF(E302&gt;=D302,"Pass","Fail"))</f>
        <v>Not Done</v>
      </c>
      <c r="L302" s="9"/>
      <c r="M302" s="9"/>
      <c r="N302" s="9"/>
      <c r="O302" s="9"/>
      <c r="P302" s="9" t="s">
        <v>119</v>
      </c>
      <c r="Q302" s="9">
        <v>1</v>
      </c>
      <c r="R302" s="9">
        <v>1</v>
      </c>
      <c r="S302" s="9">
        <v>50</v>
      </c>
    </row>
    <row r="303" spans="1:23" x14ac:dyDescent="0.3">
      <c r="B303" s="10" t="s">
        <v>120</v>
      </c>
      <c r="C303" s="19"/>
      <c r="D303" s="6">
        <v>1000</v>
      </c>
      <c r="E303" s="14" t="str">
        <f t="shared" si="48"/>
        <v>Not Done</v>
      </c>
      <c r="F303" s="6" t="s">
        <v>118</v>
      </c>
      <c r="G303" s="6" t="str">
        <f t="shared" si="49"/>
        <v>Not Done</v>
      </c>
      <c r="L303" s="9"/>
      <c r="M303" s="9"/>
      <c r="N303" s="9"/>
      <c r="O303" s="9"/>
      <c r="P303" s="9" t="s">
        <v>119</v>
      </c>
      <c r="Q303" s="9">
        <v>2</v>
      </c>
      <c r="R303" s="9">
        <v>1</v>
      </c>
      <c r="S303" s="9">
        <v>50</v>
      </c>
    </row>
    <row r="304" spans="1:23" x14ac:dyDescent="0.3">
      <c r="B304" s="10" t="s">
        <v>121</v>
      </c>
      <c r="C304" s="19"/>
      <c r="D304" s="6">
        <v>1000</v>
      </c>
      <c r="E304" s="14" t="str">
        <f t="shared" si="48"/>
        <v>Not Done</v>
      </c>
      <c r="F304" s="6" t="s">
        <v>118</v>
      </c>
      <c r="G304" s="6" t="str">
        <f t="shared" si="49"/>
        <v>Not Done</v>
      </c>
      <c r="L304" s="9"/>
      <c r="M304" s="9"/>
      <c r="N304" s="9"/>
      <c r="O304" s="9"/>
      <c r="P304" s="9" t="s">
        <v>119</v>
      </c>
      <c r="Q304" s="9">
        <v>3</v>
      </c>
      <c r="R304" s="9">
        <v>1</v>
      </c>
      <c r="S304" s="9">
        <v>50</v>
      </c>
    </row>
    <row r="305" spans="1:19" x14ac:dyDescent="0.3">
      <c r="B305" s="10" t="s">
        <v>122</v>
      </c>
      <c r="C305" s="19"/>
      <c r="D305" s="6">
        <v>1000</v>
      </c>
      <c r="E305" s="14" t="str">
        <f t="shared" si="48"/>
        <v>Not Done</v>
      </c>
      <c r="F305" s="6" t="s">
        <v>118</v>
      </c>
      <c r="G305" s="6" t="str">
        <f t="shared" si="49"/>
        <v>Not Done</v>
      </c>
      <c r="L305" s="9"/>
      <c r="M305" s="9"/>
      <c r="N305" s="9"/>
      <c r="O305" s="9"/>
      <c r="P305" s="9" t="s">
        <v>119</v>
      </c>
      <c r="Q305" s="9">
        <v>4</v>
      </c>
      <c r="R305" s="9">
        <v>1</v>
      </c>
      <c r="S305" s="9">
        <v>50</v>
      </c>
    </row>
    <row r="306" spans="1:19" x14ac:dyDescent="0.3">
      <c r="A306" s="9">
        <v>6</v>
      </c>
      <c r="B306" s="10" t="s">
        <v>156</v>
      </c>
      <c r="C306" s="19"/>
      <c r="D306" s="6">
        <v>1000</v>
      </c>
      <c r="E306" s="14" t="str">
        <f t="shared" si="48"/>
        <v>Not Done</v>
      </c>
      <c r="F306" s="6" t="s">
        <v>118</v>
      </c>
      <c r="G306" s="6" t="str">
        <f t="shared" si="49"/>
        <v>Not Done</v>
      </c>
      <c r="L306" s="9"/>
      <c r="M306" s="9"/>
      <c r="N306" s="9"/>
      <c r="O306" s="9"/>
      <c r="P306" s="9" t="s">
        <v>119</v>
      </c>
      <c r="Q306" s="9">
        <v>5</v>
      </c>
      <c r="R306" s="9">
        <v>1</v>
      </c>
      <c r="S306" s="9">
        <v>50</v>
      </c>
    </row>
    <row r="307" spans="1:19" x14ac:dyDescent="0.3">
      <c r="A307" s="9">
        <v>6</v>
      </c>
      <c r="B307" s="10" t="s">
        <v>157</v>
      </c>
      <c r="C307" s="19"/>
      <c r="D307" s="6">
        <v>1000</v>
      </c>
      <c r="E307" s="14" t="str">
        <f t="shared" si="48"/>
        <v>Not Done</v>
      </c>
      <c r="F307" s="6" t="s">
        <v>118</v>
      </c>
      <c r="G307" s="6" t="str">
        <f t="shared" si="49"/>
        <v>Not Done</v>
      </c>
      <c r="L307" s="9"/>
      <c r="M307" s="9"/>
      <c r="N307" s="9"/>
      <c r="O307" s="9"/>
      <c r="P307" s="9" t="s">
        <v>119</v>
      </c>
      <c r="Q307" s="9">
        <v>6</v>
      </c>
      <c r="R307" s="9">
        <v>1</v>
      </c>
      <c r="S307" s="9">
        <v>50</v>
      </c>
    </row>
    <row r="309" spans="1:19" ht="15.75" customHeight="1" x14ac:dyDescent="0.3">
      <c r="B309" s="4" t="s">
        <v>125</v>
      </c>
    </row>
    <row r="310" spans="1:19" x14ac:dyDescent="0.3">
      <c r="B310" s="5" t="s">
        <v>20</v>
      </c>
      <c r="C310" s="5" t="s">
        <v>34</v>
      </c>
      <c r="D310" s="5" t="s">
        <v>35</v>
      </c>
      <c r="E310" s="5" t="s">
        <v>36</v>
      </c>
      <c r="F310" s="5" t="s">
        <v>37</v>
      </c>
      <c r="G310" s="5" t="s">
        <v>21</v>
      </c>
    </row>
    <row r="311" spans="1:19" x14ac:dyDescent="0.3">
      <c r="B311" s="6" t="s">
        <v>165</v>
      </c>
      <c r="C311" s="6">
        <v>9.9999749999999992</v>
      </c>
      <c r="D311" s="6"/>
      <c r="E311" s="6">
        <v>10.000025000000001</v>
      </c>
      <c r="F311" s="6" t="s">
        <v>118</v>
      </c>
      <c r="G311" s="6" t="str">
        <f>IF(ISBLANK(D311),"Not Done",IF(AND(D311&lt;=E311,D311&gt;=C311),"Pass","Fail"))</f>
        <v>Not Done</v>
      </c>
    </row>
    <row r="313" spans="1:19" ht="15.75" customHeight="1" x14ac:dyDescent="0.3">
      <c r="B313" s="4" t="s">
        <v>127</v>
      </c>
    </row>
    <row r="314" spans="1:19" x14ac:dyDescent="0.3">
      <c r="B314" s="5" t="s">
        <v>20</v>
      </c>
      <c r="C314" s="5" t="s">
        <v>30</v>
      </c>
      <c r="D314" s="5" t="s">
        <v>34</v>
      </c>
      <c r="E314" s="5" t="s">
        <v>35</v>
      </c>
      <c r="F314" s="5" t="s">
        <v>37</v>
      </c>
      <c r="G314" s="5" t="s">
        <v>21</v>
      </c>
    </row>
    <row r="315" spans="1:19" x14ac:dyDescent="0.3">
      <c r="B315" s="6" t="s">
        <v>128</v>
      </c>
      <c r="C315" s="6" t="s">
        <v>123</v>
      </c>
      <c r="D315" s="6">
        <v>2.5</v>
      </c>
      <c r="E315" s="6"/>
      <c r="F315" s="6" t="s">
        <v>62</v>
      </c>
      <c r="G315" s="6" t="str">
        <f>IF(ISBLANK(E315),"Not Done",IF(E315&gt;=D315,"Pass","Fail"))</f>
        <v>Not Done</v>
      </c>
    </row>
    <row r="316" spans="1:19" x14ac:dyDescent="0.3">
      <c r="B316" s="6" t="s">
        <v>128</v>
      </c>
      <c r="C316" s="6" t="s">
        <v>124</v>
      </c>
      <c r="D316" s="6">
        <v>1</v>
      </c>
      <c r="E316" s="6"/>
      <c r="F316" s="6" t="s">
        <v>62</v>
      </c>
      <c r="G316" s="6" t="str">
        <f>IF(ISBLANK(E316),"Not Done",IF(E316&gt;=D316,"Pass","Fail"))</f>
        <v>Not Done</v>
      </c>
    </row>
    <row r="318" spans="1:19" ht="15.75" customHeight="1" x14ac:dyDescent="0.3">
      <c r="B318" s="4" t="s">
        <v>129</v>
      </c>
    </row>
    <row r="319" spans="1:19" x14ac:dyDescent="0.3">
      <c r="B319" s="5" t="s">
        <v>20</v>
      </c>
      <c r="C319" s="5" t="s">
        <v>30</v>
      </c>
      <c r="D319" s="5" t="s">
        <v>35</v>
      </c>
      <c r="E319" s="5" t="s">
        <v>36</v>
      </c>
      <c r="F319" s="5" t="s">
        <v>37</v>
      </c>
      <c r="G319" s="5" t="s">
        <v>21</v>
      </c>
    </row>
    <row r="320" spans="1:19" x14ac:dyDescent="0.3">
      <c r="B320" s="6" t="s">
        <v>130</v>
      </c>
      <c r="C320" s="6" t="s">
        <v>123</v>
      </c>
      <c r="D320" s="6"/>
      <c r="E320" s="6">
        <v>0.7</v>
      </c>
      <c r="F320" s="6" t="s">
        <v>62</v>
      </c>
      <c r="G320" s="6" t="str">
        <f>IF(ISBLANK(D320),"Not Done",IF(D320&lt;=E320,"Pass","Fail"))</f>
        <v>Not Done</v>
      </c>
    </row>
    <row r="321" spans="2:7" x14ac:dyDescent="0.3">
      <c r="B321" s="6" t="s">
        <v>130</v>
      </c>
      <c r="C321" s="6" t="s">
        <v>124</v>
      </c>
      <c r="D321" s="6"/>
      <c r="E321" s="6">
        <v>0.25</v>
      </c>
      <c r="F321" s="6" t="s">
        <v>62</v>
      </c>
      <c r="G321" s="6" t="str">
        <f>IF(ISBLANK(D321),"Not Done",IF(D321&lt;=E321,"Pass","Fail"))</f>
        <v>Not Done</v>
      </c>
    </row>
    <row r="324" spans="2:7" x14ac:dyDescent="0.3">
      <c r="D324" t="s">
        <v>166</v>
      </c>
    </row>
  </sheetData>
  <phoneticPr fontId="5" type="noConversion"/>
  <conditionalFormatting sqref="C5">
    <cfRule type="containsText" dxfId="27" priority="27" operator="containsText" text="highlight">
      <formula>ISBLANK(C5)</formula>
    </cfRule>
  </conditionalFormatting>
  <conditionalFormatting sqref="C7">
    <cfRule type="containsText" dxfId="26" priority="29" operator="containsText" text="highlight">
      <formula>ISBLANK(C7)</formula>
    </cfRule>
  </conditionalFormatting>
  <conditionalFormatting sqref="C11">
    <cfRule type="containsText" dxfId="25" priority="31" operator="containsText" text="highlight">
      <formula>ISBLANK(C11)</formula>
    </cfRule>
  </conditionalFormatting>
  <conditionalFormatting sqref="C302:C307">
    <cfRule type="containsText" dxfId="24" priority="15" operator="containsText" text="highlight">
      <formula>ISBLANK(C302)</formula>
    </cfRule>
  </conditionalFormatting>
  <conditionalFormatting sqref="C15:D15 C19:D19">
    <cfRule type="containsText" dxfId="23" priority="33" operator="containsText" text="highlight">
      <formula>ISBLANK(C15)</formula>
    </cfRule>
  </conditionalFormatting>
  <conditionalFormatting sqref="D15 D19 H23:H40 I191:I298">
    <cfRule type="containsText" dxfId="22" priority="35" operator="containsText" text="highlight">
      <formula>D15="Fail"</formula>
    </cfRule>
    <cfRule type="containsText" dxfId="21" priority="36" operator="containsText" text="highlight">
      <formula>D15="Pass"</formula>
    </cfRule>
  </conditionalFormatting>
  <conditionalFormatting sqref="D311">
    <cfRule type="containsText" dxfId="20" priority="997" operator="containsText" text="highlight">
      <formula>ISBLANK(D311)</formula>
    </cfRule>
  </conditionalFormatting>
  <conditionalFormatting sqref="D320:D321">
    <cfRule type="containsText" dxfId="19" priority="1546" operator="containsText" text="highlight">
      <formula>ISBLANK(D320)</formula>
    </cfRule>
  </conditionalFormatting>
  <conditionalFormatting sqref="E315:E316">
    <cfRule type="containsText" dxfId="17" priority="1540" operator="containsText" text="highlight">
      <formula>ISBLANK(E315)</formula>
    </cfRule>
  </conditionalFormatting>
  <conditionalFormatting sqref="G5">
    <cfRule type="containsText" dxfId="16" priority="28" operator="containsText" text="highlight">
      <formula>ISBLANK(G5)</formula>
    </cfRule>
  </conditionalFormatting>
  <conditionalFormatting sqref="G9">
    <cfRule type="containsText" dxfId="15" priority="30" operator="containsText" text="highlight">
      <formula>ISBLANK(G9)</formula>
    </cfRule>
  </conditionalFormatting>
  <conditionalFormatting sqref="G10">
    <cfRule type="containsText" dxfId="14" priority="32" operator="containsText" text="highlight">
      <formula>ISBLANK(G10)</formula>
    </cfRule>
  </conditionalFormatting>
  <conditionalFormatting sqref="G302:G307">
    <cfRule type="containsText" dxfId="13" priority="16" operator="containsText" text="highlight">
      <formula>G302="Fail"</formula>
    </cfRule>
    <cfRule type="containsText" dxfId="12" priority="17" operator="containsText" text="highlight">
      <formula>G302="Pass"</formula>
    </cfRule>
  </conditionalFormatting>
  <conditionalFormatting sqref="G311">
    <cfRule type="containsText" dxfId="11" priority="998" operator="containsText" text="highlight">
      <formula>G311="Fail"</formula>
    </cfRule>
    <cfRule type="containsText" dxfId="10" priority="999" operator="containsText" text="highlight">
      <formula>G311="Pass"</formula>
    </cfRule>
  </conditionalFormatting>
  <conditionalFormatting sqref="G315:G316">
    <cfRule type="containsText" dxfId="9" priority="1541" operator="containsText" text="highlight">
      <formula>G315="Fail"</formula>
    </cfRule>
    <cfRule type="containsText" dxfId="8" priority="1542" operator="containsText" text="highlight">
      <formula>G315="Pass"</formula>
    </cfRule>
  </conditionalFormatting>
  <conditionalFormatting sqref="G320:G321">
    <cfRule type="containsText" dxfId="7" priority="1547" operator="containsText" text="highlight">
      <formula>G320="Fail"</formula>
    </cfRule>
    <cfRule type="containsText" dxfId="6" priority="1548" operator="containsText" text="highlight">
      <formula>G320="Pass"</formula>
    </cfRule>
  </conditionalFormatting>
  <conditionalFormatting sqref="H44:H187">
    <cfRule type="containsText" dxfId="5" priority="391" operator="containsText" text="highlight">
      <formula>H44="Fail"</formula>
    </cfRule>
    <cfRule type="containsText" dxfId="4" priority="392" operator="containsText" text="highlight">
      <formula>H44="Pass"</formula>
    </cfRule>
  </conditionalFormatting>
  <conditionalFormatting sqref="M44:O187">
    <cfRule type="containsText" dxfId="3" priority="390" operator="containsText" text="highlight">
      <formula>ISBLANK(M44)</formula>
    </cfRule>
  </conditionalFormatting>
  <conditionalFormatting sqref="E23:E40">
    <cfRule type="containsText" dxfId="2" priority="3" operator="containsText" text="highlight">
      <formula>ISBLANK(E23)</formula>
    </cfRule>
  </conditionalFormatting>
  <conditionalFormatting sqref="E44:E187">
    <cfRule type="containsText" dxfId="1" priority="2" operator="containsText" text="highlight">
      <formula>ISBLANK(E44)</formula>
    </cfRule>
  </conditionalFormatting>
  <conditionalFormatting sqref="F191:F298">
    <cfRule type="containsText" dxfId="0" priority="1" operator="containsText" text="highlight">
      <formula>ISBLANK(F191)</formula>
    </cfRule>
  </conditionalFormatting>
  <pageMargins left="0.74803149606299213" right="0.74803149606299213" top="0.98425196850393704" bottom="0.98425196850393704" header="0.51181102362204722" footer="0.51181102362204722"/>
  <pageSetup paperSize="9" scale="47" fitToHeight="0" orientation="portrait" r:id="rId1"/>
  <headerFooter>
    <oddHeader>&amp;RPage &amp;P of &amp;N&amp;L&amp;G</oddHeader>
    <evenHeader>&amp;RPage &amp;P of &amp;N</evenHeader>
  </headerFooter>
  <rowBreaks count="2" manualBreakCount="2">
    <brk id="41" min="1" max="9" man="1"/>
    <brk id="188" min="1" max="9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</vt:lpstr>
      <vt:lpstr>Manufacturer</vt:lpstr>
      <vt:lpstr>Model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2023-10-12T02:33:54Z</cp:lastPrinted>
  <dcterms:created xsi:type="dcterms:W3CDTF">2022-12-14T02:56:33Z</dcterms:created>
  <dcterms:modified xsi:type="dcterms:W3CDTF">2023-11-16T00:56:09Z</dcterms:modified>
</cp:coreProperties>
</file>