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44CA48E8-C9F3-4A2E-B7C5-E6FD5601E2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8" i="1" l="1"/>
  <c r="D119" i="1"/>
  <c r="D120" i="1"/>
  <c r="D117" i="1"/>
  <c r="F117" i="1"/>
  <c r="F118" i="1"/>
  <c r="F119" i="1"/>
  <c r="F120" i="1"/>
  <c r="E124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<sst xmlns="http://schemas.openxmlformats.org/spreadsheetml/2006/main" count="368" uniqueCount="71">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</sst>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6" x14ac:dyDescent="0.25">
      <c r="J1" t="s">
        <v>0</v>
      </c>
      <c r="K1" t="s">
        <v>1</v>
      </c>
    </row>
    <row r="3" spans="1:16" ht="15.75" x14ac:dyDescent="0.25">
      <c r="A3" s="1" t="s">
        <v>2</v>
      </c>
    </row>
    <row r="4" spans="1:16" x14ac:dyDescent="0.25">
      <c r="A4" s="2"/>
      <c r="B4" s="2"/>
      <c r="E4" s="2"/>
      <c r="F4" s="2"/>
    </row>
    <row r="5" spans="1:16" x14ac:dyDescent="0.25">
      <c r="A5" s="2" t="s">
        <v>3</v>
      </c>
      <c r="B5" s="3"/>
      <c r="E5" s="2" t="s">
        <v>4</v>
      </c>
      <c r="F5" s="2"/>
    </row>
    <row r="6" spans="1:16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6" x14ac:dyDescent="0.25">
      <c r="A7" s="2" t="s">
        <v>8</v>
      </c>
      <c r="B7" s="2"/>
      <c r="E7" s="2" t="s">
        <v>9</v>
      </c>
      <c r="F7" s="2" t="s">
        <v>10</v>
      </c>
    </row>
    <row r="8" spans="1:16" x14ac:dyDescent="0.25">
      <c r="A8" s="2" t="s">
        <v>11</v>
      </c>
      <c r="B8" s="2"/>
      <c r="E8" s="2" t="s">
        <v>12</v>
      </c>
      <c r="F8" s="2" t="s">
        <v>13</v>
      </c>
    </row>
    <row r="9" spans="1:16" x14ac:dyDescent="0.25">
      <c r="A9" s="2" t="s">
        <v>14</v>
      </c>
      <c r="B9" s="2" t="s">
        <v>15</v>
      </c>
      <c r="E9" s="2" t="s">
        <v>16</v>
      </c>
      <c r="F9" s="2"/>
    </row>
    <row r="10" spans="1:16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6" x14ac:dyDescent="0.25">
      <c r="A11" t="s">
        <v>21</v>
      </c>
      <c r="B11" t="s">
        <v>52</v>
      </c>
    </row>
    <row r="13" spans="1:16" ht="15.75" x14ac:dyDescent="0.25">
      <c r="A13" s="4" t="s">
        <v>22</v>
      </c>
    </row>
    <row r="14" spans="1:16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  <c r="K14" t="s">
        <v>61</v>
      </c>
      <c r="L14" t="s">
        <v>62</v>
      </c>
      <c r="M14" t="s">
        <v>63</v>
      </c>
      <c r="N14" t="s">
        <v>64</v>
      </c>
      <c r="O14" t="s">
        <v>65</v>
      </c>
      <c r="P14" t="s">
        <v>68</v>
      </c>
    </row>
    <row r="15" spans="1:16" x14ac:dyDescent="0.25">
      <c r="A15" s="6" t="s">
        <v>30</v>
      </c>
      <c r="B15" s="7"/>
      <c r="C15" s="7"/>
      <c r="D15" s="7"/>
      <c r="E15" s="7"/>
      <c r="F15" s="7"/>
      <c r="G15" s="8"/>
    </row>
    <row r="16" spans="1:16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  <c r="K16" t="s">
        <v>66</v>
      </c>
      <c r="L16">
        <v>1</v>
      </c>
      <c r="M16" t="s">
        <v>67</v>
      </c>
      <c r="N16">
        <v>5</v>
      </c>
      <c r="O16">
        <v>35</v>
      </c>
      <c r="P16">
        <v>17.5</v>
      </c>
    </row>
    <row r="17" spans="1:16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  <c r="K17" t="s">
        <v>66</v>
      </c>
      <c r="L17">
        <v>1</v>
      </c>
      <c r="M17" t="s">
        <v>67</v>
      </c>
      <c r="N17">
        <v>2</v>
      </c>
      <c r="O17">
        <v>14</v>
      </c>
      <c r="P17">
        <v>7</v>
      </c>
    </row>
    <row r="18" spans="1:16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  <c r="K18" t="s">
        <v>66</v>
      </c>
      <c r="L18">
        <v>1</v>
      </c>
      <c r="M18" t="s">
        <v>67</v>
      </c>
      <c r="N18">
        <v>1</v>
      </c>
      <c r="O18">
        <v>7</v>
      </c>
      <c r="P18">
        <v>3.5</v>
      </c>
    </row>
    <row r="19" spans="1:16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  <c r="K19" t="s">
        <v>66</v>
      </c>
      <c r="L19">
        <v>1</v>
      </c>
      <c r="M19" t="s">
        <v>67</v>
      </c>
      <c r="N19">
        <v>0.5</v>
      </c>
      <c r="O19">
        <v>3.5</v>
      </c>
      <c r="P19">
        <v>1.75</v>
      </c>
    </row>
    <row r="20" spans="1:16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  <c r="K20" t="s">
        <v>66</v>
      </c>
      <c r="L20">
        <v>1</v>
      </c>
      <c r="M20" t="s">
        <v>67</v>
      </c>
      <c r="N20">
        <v>0.2</v>
      </c>
      <c r="O20">
        <v>1.4</v>
      </c>
      <c r="P20">
        <v>0.70000000000000007</v>
      </c>
    </row>
    <row r="21" spans="1:16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  <c r="K21" t="s">
        <v>66</v>
      </c>
      <c r="L21">
        <v>1</v>
      </c>
      <c r="M21" t="s">
        <v>67</v>
      </c>
      <c r="N21">
        <v>0.1</v>
      </c>
      <c r="O21">
        <v>0.7</v>
      </c>
      <c r="P21">
        <v>0.35000000000000003</v>
      </c>
    </row>
    <row r="22" spans="1:16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  <c r="K22" t="s">
        <v>66</v>
      </c>
      <c r="L22">
        <v>1</v>
      </c>
      <c r="M22" t="s">
        <v>67</v>
      </c>
      <c r="N22">
        <v>0.05</v>
      </c>
      <c r="O22">
        <v>0.35</v>
      </c>
      <c r="P22">
        <v>0.17500000000000002</v>
      </c>
    </row>
    <row r="23" spans="1:16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  <c r="K23" t="s">
        <v>66</v>
      </c>
      <c r="L23">
        <v>1</v>
      </c>
      <c r="M23" t="s">
        <v>67</v>
      </c>
      <c r="N23">
        <v>0.02</v>
      </c>
      <c r="O23">
        <v>0.14000000000000001</v>
      </c>
      <c r="P23">
        <v>7.0000000000000007E-2</v>
      </c>
    </row>
    <row r="24" spans="1:16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  <c r="K24" t="s">
        <v>66</v>
      </c>
      <c r="L24">
        <v>1</v>
      </c>
      <c r="M24" t="s">
        <v>67</v>
      </c>
      <c r="N24">
        <v>0.01</v>
      </c>
      <c r="O24">
        <v>7.0000000000000007E-2</v>
      </c>
      <c r="P24">
        <v>3.5000000000000003E-2</v>
      </c>
    </row>
    <row r="25" spans="1:16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  <c r="K25" t="s">
        <v>66</v>
      </c>
      <c r="L25">
        <v>1</v>
      </c>
      <c r="M25" t="s">
        <v>67</v>
      </c>
      <c r="N25">
        <v>5.0000000000000001E-3</v>
      </c>
      <c r="O25">
        <v>3.5000000000000003E-2</v>
      </c>
      <c r="P25">
        <v>1.7500000000000002E-2</v>
      </c>
    </row>
    <row r="26" spans="1:16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  <c r="K26" t="s">
        <v>66</v>
      </c>
      <c r="L26">
        <v>1</v>
      </c>
      <c r="M26" t="s">
        <v>67</v>
      </c>
      <c r="N26">
        <v>2E-3</v>
      </c>
      <c r="O26">
        <v>1.4E-2</v>
      </c>
      <c r="P26">
        <v>7.0000000000000001E-3</v>
      </c>
    </row>
    <row r="27" spans="1:16" x14ac:dyDescent="0.25">
      <c r="A27" s="6" t="s">
        <v>33</v>
      </c>
      <c r="B27" s="7"/>
      <c r="C27" s="7"/>
      <c r="D27" s="7"/>
      <c r="E27" s="7"/>
      <c r="F27" s="7"/>
      <c r="G27" s="8"/>
    </row>
    <row r="28" spans="1:16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  <c r="K28" t="s">
        <v>66</v>
      </c>
      <c r="L28">
        <v>2</v>
      </c>
      <c r="M28" t="s">
        <v>67</v>
      </c>
      <c r="N28">
        <v>5</v>
      </c>
      <c r="O28">
        <v>35</v>
      </c>
      <c r="P28">
        <v>17.5</v>
      </c>
    </row>
    <row r="29" spans="1:16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  <c r="K29" t="s">
        <v>66</v>
      </c>
      <c r="L29">
        <v>2</v>
      </c>
      <c r="M29" t="s">
        <v>67</v>
      </c>
      <c r="N29">
        <v>2</v>
      </c>
      <c r="O29">
        <v>14</v>
      </c>
      <c r="P29">
        <v>7</v>
      </c>
    </row>
    <row r="30" spans="1:16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  <c r="K30" t="s">
        <v>66</v>
      </c>
      <c r="L30">
        <v>2</v>
      </c>
      <c r="M30" t="s">
        <v>67</v>
      </c>
      <c r="N30">
        <v>1</v>
      </c>
      <c r="O30">
        <v>7</v>
      </c>
      <c r="P30">
        <v>3.5</v>
      </c>
    </row>
    <row r="31" spans="1:16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  <c r="K31" t="s">
        <v>66</v>
      </c>
      <c r="L31">
        <v>2</v>
      </c>
      <c r="M31" t="s">
        <v>67</v>
      </c>
      <c r="N31">
        <v>0.5</v>
      </c>
      <c r="O31">
        <v>3.5</v>
      </c>
      <c r="P31">
        <v>1.75</v>
      </c>
    </row>
    <row r="32" spans="1:16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  <c r="K32" t="s">
        <v>66</v>
      </c>
      <c r="L32">
        <v>2</v>
      </c>
      <c r="M32" t="s">
        <v>67</v>
      </c>
      <c r="N32">
        <v>0.2</v>
      </c>
      <c r="O32">
        <v>1.4</v>
      </c>
      <c r="P32">
        <v>0.70000000000000007</v>
      </c>
    </row>
    <row r="33" spans="1:16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  <c r="K33" t="s">
        <v>66</v>
      </c>
      <c r="L33">
        <v>2</v>
      </c>
      <c r="M33" t="s">
        <v>67</v>
      </c>
      <c r="N33">
        <v>0.1</v>
      </c>
      <c r="O33">
        <v>0.7</v>
      </c>
      <c r="P33">
        <v>0.35000000000000003</v>
      </c>
    </row>
    <row r="34" spans="1:16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  <c r="K34" t="s">
        <v>66</v>
      </c>
      <c r="L34">
        <v>2</v>
      </c>
      <c r="M34" t="s">
        <v>67</v>
      </c>
      <c r="N34">
        <v>0.05</v>
      </c>
      <c r="O34">
        <v>0.35</v>
      </c>
      <c r="P34">
        <v>0.17500000000000002</v>
      </c>
    </row>
    <row r="35" spans="1:16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  <c r="K35" t="s">
        <v>66</v>
      </c>
      <c r="L35">
        <v>2</v>
      </c>
      <c r="M35" t="s">
        <v>67</v>
      </c>
      <c r="N35">
        <v>0.02</v>
      </c>
      <c r="O35">
        <v>0.14000000000000001</v>
      </c>
      <c r="P35">
        <v>7.0000000000000007E-2</v>
      </c>
    </row>
    <row r="36" spans="1:16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  <c r="K36" t="s">
        <v>66</v>
      </c>
      <c r="L36">
        <v>2</v>
      </c>
      <c r="M36" t="s">
        <v>67</v>
      </c>
      <c r="N36">
        <v>0.01</v>
      </c>
      <c r="O36">
        <v>7.0000000000000007E-2</v>
      </c>
      <c r="P36">
        <v>3.5000000000000003E-2</v>
      </c>
    </row>
    <row r="37" spans="1:16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  <c r="K37" t="s">
        <v>66</v>
      </c>
      <c r="L37">
        <v>2</v>
      </c>
      <c r="M37" t="s">
        <v>67</v>
      </c>
      <c r="N37">
        <v>5.0000000000000001E-3</v>
      </c>
      <c r="O37">
        <v>3.5000000000000003E-2</v>
      </c>
      <c r="P37">
        <v>1.7500000000000002E-2</v>
      </c>
    </row>
    <row r="38" spans="1:16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  <c r="K38" t="s">
        <v>66</v>
      </c>
      <c r="L38">
        <v>2</v>
      </c>
      <c r="M38" t="s">
        <v>67</v>
      </c>
      <c r="N38">
        <v>2E-3</v>
      </c>
      <c r="O38">
        <v>1.4E-2</v>
      </c>
      <c r="P38">
        <v>7.0000000000000001E-3</v>
      </c>
    </row>
    <row r="39" spans="1:16" x14ac:dyDescent="0.25">
      <c r="A39" s="6" t="s">
        <v>34</v>
      </c>
      <c r="B39" s="7"/>
      <c r="C39" s="7"/>
      <c r="D39" s="7"/>
      <c r="E39" s="7"/>
      <c r="F39" s="7"/>
      <c r="G39" s="8"/>
    </row>
    <row r="40" spans="1:16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  <c r="K40" t="s">
        <v>66</v>
      </c>
      <c r="L40">
        <v>3</v>
      </c>
      <c r="M40" t="s">
        <v>67</v>
      </c>
      <c r="N40">
        <v>5</v>
      </c>
      <c r="O40">
        <v>35</v>
      </c>
      <c r="P40">
        <v>17.5</v>
      </c>
    </row>
    <row r="41" spans="1:16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  <c r="K41" t="s">
        <v>66</v>
      </c>
      <c r="L41">
        <v>3</v>
      </c>
      <c r="M41" t="s">
        <v>67</v>
      </c>
      <c r="N41">
        <v>2</v>
      </c>
      <c r="O41">
        <v>14</v>
      </c>
      <c r="P41">
        <v>7</v>
      </c>
    </row>
    <row r="42" spans="1:16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  <c r="K42" t="s">
        <v>66</v>
      </c>
      <c r="L42">
        <v>3</v>
      </c>
      <c r="M42" t="s">
        <v>67</v>
      </c>
      <c r="N42">
        <v>1</v>
      </c>
      <c r="O42">
        <v>7</v>
      </c>
      <c r="P42">
        <v>3.5</v>
      </c>
    </row>
    <row r="43" spans="1:16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  <c r="K43" t="s">
        <v>66</v>
      </c>
      <c r="L43">
        <v>3</v>
      </c>
      <c r="M43" t="s">
        <v>67</v>
      </c>
      <c r="N43">
        <v>0.5</v>
      </c>
      <c r="O43">
        <v>3.5</v>
      </c>
      <c r="P43">
        <v>1.75</v>
      </c>
    </row>
    <row r="44" spans="1:16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  <c r="K44" t="s">
        <v>66</v>
      </c>
      <c r="L44">
        <v>3</v>
      </c>
      <c r="M44" t="s">
        <v>67</v>
      </c>
      <c r="N44">
        <v>0.2</v>
      </c>
      <c r="O44">
        <v>1.4</v>
      </c>
      <c r="P44">
        <v>0.70000000000000007</v>
      </c>
    </row>
    <row r="45" spans="1:16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  <c r="K45" t="s">
        <v>66</v>
      </c>
      <c r="L45">
        <v>3</v>
      </c>
      <c r="M45" t="s">
        <v>67</v>
      </c>
      <c r="N45">
        <v>0.1</v>
      </c>
      <c r="O45">
        <v>0.7</v>
      </c>
      <c r="P45">
        <v>0.35000000000000003</v>
      </c>
    </row>
    <row r="46" spans="1:16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  <c r="K46" t="s">
        <v>66</v>
      </c>
      <c r="L46">
        <v>3</v>
      </c>
      <c r="M46" t="s">
        <v>67</v>
      </c>
      <c r="N46">
        <v>0.05</v>
      </c>
      <c r="O46">
        <v>0.35</v>
      </c>
      <c r="P46">
        <v>0.17500000000000002</v>
      </c>
    </row>
    <row r="47" spans="1:16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  <c r="K47" t="s">
        <v>66</v>
      </c>
      <c r="L47">
        <v>3</v>
      </c>
      <c r="M47" t="s">
        <v>67</v>
      </c>
      <c r="N47">
        <v>0.02</v>
      </c>
      <c r="O47">
        <v>0.14000000000000001</v>
      </c>
      <c r="P47">
        <v>7.0000000000000007E-2</v>
      </c>
    </row>
    <row r="48" spans="1:16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  <c r="K48" t="s">
        <v>66</v>
      </c>
      <c r="L48">
        <v>3</v>
      </c>
      <c r="M48" t="s">
        <v>67</v>
      </c>
      <c r="N48">
        <v>0.01</v>
      </c>
      <c r="O48">
        <v>7.0000000000000007E-2</v>
      </c>
      <c r="P48">
        <v>3.5000000000000003E-2</v>
      </c>
    </row>
    <row r="49" spans="1:16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  <c r="K49" t="s">
        <v>66</v>
      </c>
      <c r="L49">
        <v>3</v>
      </c>
      <c r="M49" t="s">
        <v>67</v>
      </c>
      <c r="N49">
        <v>5.0000000000000001E-3</v>
      </c>
      <c r="O49">
        <v>3.5000000000000003E-2</v>
      </c>
      <c r="P49">
        <v>1.7500000000000002E-2</v>
      </c>
    </row>
    <row r="50" spans="1:16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  <c r="K50" t="s">
        <v>66</v>
      </c>
      <c r="L50">
        <v>3</v>
      </c>
      <c r="M50" t="s">
        <v>67</v>
      </c>
      <c r="N50">
        <v>2E-3</v>
      </c>
      <c r="O50">
        <v>1.4E-2</v>
      </c>
      <c r="P50">
        <v>7.0000000000000001E-3</v>
      </c>
    </row>
    <row r="51" spans="1:16" x14ac:dyDescent="0.25">
      <c r="A51" s="6" t="s">
        <v>35</v>
      </c>
      <c r="B51" s="7"/>
      <c r="C51" s="7"/>
      <c r="D51" s="7"/>
      <c r="E51" s="7"/>
      <c r="F51" s="7"/>
      <c r="G51" s="8"/>
    </row>
    <row r="52" spans="1:16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  <c r="K52" t="s">
        <v>66</v>
      </c>
      <c r="L52">
        <v>4</v>
      </c>
      <c r="M52" t="s">
        <v>67</v>
      </c>
      <c r="N52">
        <v>5</v>
      </c>
      <c r="O52">
        <v>35</v>
      </c>
      <c r="P52">
        <v>17.5</v>
      </c>
    </row>
    <row r="53" spans="1:16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  <c r="K53" t="s">
        <v>66</v>
      </c>
      <c r="L53">
        <v>4</v>
      </c>
      <c r="M53" t="s">
        <v>67</v>
      </c>
      <c r="N53">
        <v>2</v>
      </c>
      <c r="O53">
        <v>14</v>
      </c>
      <c r="P53">
        <v>7</v>
      </c>
    </row>
    <row r="54" spans="1:16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  <c r="K54" t="s">
        <v>66</v>
      </c>
      <c r="L54">
        <v>4</v>
      </c>
      <c r="M54" t="s">
        <v>67</v>
      </c>
      <c r="N54">
        <v>1</v>
      </c>
      <c r="O54">
        <v>7</v>
      </c>
      <c r="P54">
        <v>3.5</v>
      </c>
    </row>
    <row r="55" spans="1:16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  <c r="K55" t="s">
        <v>66</v>
      </c>
      <c r="L55">
        <v>4</v>
      </c>
      <c r="M55" t="s">
        <v>67</v>
      </c>
      <c r="N55">
        <v>0.5</v>
      </c>
      <c r="O55">
        <v>3.5</v>
      </c>
      <c r="P55">
        <v>1.75</v>
      </c>
    </row>
    <row r="56" spans="1:16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  <c r="K56" t="s">
        <v>66</v>
      </c>
      <c r="L56">
        <v>4</v>
      </c>
      <c r="M56" t="s">
        <v>67</v>
      </c>
      <c r="N56">
        <v>0.2</v>
      </c>
      <c r="O56">
        <v>1.4</v>
      </c>
      <c r="P56">
        <v>0.70000000000000007</v>
      </c>
    </row>
    <row r="57" spans="1:16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  <c r="K57" t="s">
        <v>66</v>
      </c>
      <c r="L57">
        <v>4</v>
      </c>
      <c r="M57" t="s">
        <v>67</v>
      </c>
      <c r="N57">
        <v>0.1</v>
      </c>
      <c r="O57">
        <v>0.7</v>
      </c>
      <c r="P57">
        <v>0.35000000000000003</v>
      </c>
    </row>
    <row r="58" spans="1:16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  <c r="K58" t="s">
        <v>66</v>
      </c>
      <c r="L58">
        <v>4</v>
      </c>
      <c r="M58" t="s">
        <v>67</v>
      </c>
      <c r="N58">
        <v>0.05</v>
      </c>
      <c r="O58">
        <v>0.35</v>
      </c>
      <c r="P58">
        <v>0.17500000000000002</v>
      </c>
    </row>
    <row r="59" spans="1:16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  <c r="K59" t="s">
        <v>66</v>
      </c>
      <c r="L59">
        <v>4</v>
      </c>
      <c r="M59" t="s">
        <v>67</v>
      </c>
      <c r="N59">
        <v>0.02</v>
      </c>
      <c r="O59">
        <v>0.14000000000000001</v>
      </c>
      <c r="P59">
        <v>7.0000000000000007E-2</v>
      </c>
    </row>
    <row r="60" spans="1:16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  <c r="K60" t="s">
        <v>66</v>
      </c>
      <c r="L60">
        <v>4</v>
      </c>
      <c r="M60" t="s">
        <v>67</v>
      </c>
      <c r="N60">
        <v>0.01</v>
      </c>
      <c r="O60">
        <v>7.0000000000000007E-2</v>
      </c>
      <c r="P60">
        <v>3.5000000000000003E-2</v>
      </c>
    </row>
    <row r="61" spans="1:16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  <c r="K61" t="s">
        <v>66</v>
      </c>
      <c r="L61">
        <v>4</v>
      </c>
      <c r="M61" t="s">
        <v>67</v>
      </c>
      <c r="N61">
        <v>5.0000000000000001E-3</v>
      </c>
      <c r="O61">
        <v>3.5000000000000003E-2</v>
      </c>
      <c r="P61">
        <v>1.7500000000000002E-2</v>
      </c>
    </row>
    <row r="62" spans="1:16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  <c r="K62" t="s">
        <v>66</v>
      </c>
      <c r="L62">
        <v>4</v>
      </c>
      <c r="M62" t="s">
        <v>67</v>
      </c>
      <c r="N62">
        <v>2E-3</v>
      </c>
      <c r="O62">
        <v>1.4E-2</v>
      </c>
      <c r="P62">
        <v>7.0000000000000001E-3</v>
      </c>
    </row>
    <row r="64" spans="1:16" ht="15.75" x14ac:dyDescent="0.25">
      <c r="A64" s="4" t="s">
        <v>36</v>
      </c>
    </row>
    <row r="65" spans="1:16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16" x14ac:dyDescent="0.25">
      <c r="A66" s="6" t="s">
        <v>30</v>
      </c>
      <c r="B66" s="7"/>
      <c r="C66" s="7"/>
      <c r="D66" s="7"/>
      <c r="E66" s="7"/>
      <c r="F66" s="7"/>
      <c r="G66" s="8"/>
    </row>
    <row r="67" spans="1:16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  <c r="K67" t="s">
        <v>69</v>
      </c>
      <c r="L67">
        <v>1</v>
      </c>
      <c r="M67" t="s">
        <v>67</v>
      </c>
      <c r="N67">
        <v>5</v>
      </c>
      <c r="O67">
        <v>35</v>
      </c>
      <c r="P67">
        <v>17.5</v>
      </c>
    </row>
    <row r="68" spans="1:16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  <c r="K68" t="s">
        <v>69</v>
      </c>
      <c r="L68">
        <v>1</v>
      </c>
      <c r="M68" t="s">
        <v>67</v>
      </c>
      <c r="N68">
        <v>2</v>
      </c>
      <c r="O68">
        <v>14</v>
      </c>
      <c r="P68">
        <v>7</v>
      </c>
    </row>
    <row r="69" spans="1:16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  <c r="K69" t="s">
        <v>69</v>
      </c>
      <c r="L69">
        <v>1</v>
      </c>
      <c r="M69" t="s">
        <v>67</v>
      </c>
      <c r="N69">
        <v>1</v>
      </c>
      <c r="O69">
        <v>7</v>
      </c>
      <c r="P69">
        <v>3.5</v>
      </c>
    </row>
    <row r="70" spans="1:16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  <c r="K70" t="s">
        <v>69</v>
      </c>
      <c r="L70">
        <v>1</v>
      </c>
      <c r="M70" t="s">
        <v>67</v>
      </c>
      <c r="N70">
        <v>0.5</v>
      </c>
      <c r="O70">
        <v>3.5</v>
      </c>
      <c r="P70">
        <v>1.75</v>
      </c>
    </row>
    <row r="71" spans="1:16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  <c r="K71" t="s">
        <v>69</v>
      </c>
      <c r="L71">
        <v>1</v>
      </c>
      <c r="M71" t="s">
        <v>67</v>
      </c>
      <c r="N71">
        <v>0.2</v>
      </c>
      <c r="O71">
        <v>1.4</v>
      </c>
      <c r="P71">
        <v>0.70000000000000007</v>
      </c>
    </row>
    <row r="72" spans="1:16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  <c r="K72" t="s">
        <v>69</v>
      </c>
      <c r="L72">
        <v>1</v>
      </c>
      <c r="M72" t="s">
        <v>67</v>
      </c>
      <c r="N72">
        <v>0.1</v>
      </c>
      <c r="O72">
        <v>0.7</v>
      </c>
      <c r="P72">
        <v>0.35000000000000003</v>
      </c>
    </row>
    <row r="73" spans="1:16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  <c r="K73" t="s">
        <v>69</v>
      </c>
      <c r="L73">
        <v>1</v>
      </c>
      <c r="M73" t="s">
        <v>67</v>
      </c>
      <c r="N73">
        <v>0.05</v>
      </c>
      <c r="O73">
        <v>0.35</v>
      </c>
      <c r="P73">
        <v>0.17500000000000002</v>
      </c>
    </row>
    <row r="74" spans="1:16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  <c r="K74" t="s">
        <v>69</v>
      </c>
      <c r="L74">
        <v>1</v>
      </c>
      <c r="M74" t="s">
        <v>67</v>
      </c>
      <c r="N74">
        <v>0.02</v>
      </c>
      <c r="O74">
        <v>0.14000000000000001</v>
      </c>
      <c r="P74">
        <v>7.0000000000000007E-2</v>
      </c>
    </row>
    <row r="75" spans="1:16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  <c r="K75" t="s">
        <v>69</v>
      </c>
      <c r="L75">
        <v>1</v>
      </c>
      <c r="M75" t="s">
        <v>67</v>
      </c>
      <c r="N75">
        <v>0.01</v>
      </c>
      <c r="O75">
        <v>7.0000000000000007E-2</v>
      </c>
      <c r="P75">
        <v>3.5000000000000003E-2</v>
      </c>
    </row>
    <row r="76" spans="1:16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  <c r="K76" t="s">
        <v>69</v>
      </c>
      <c r="L76">
        <v>1</v>
      </c>
      <c r="M76" t="s">
        <v>67</v>
      </c>
      <c r="N76">
        <v>5.0000000000000001E-3</v>
      </c>
      <c r="O76">
        <v>3.5000000000000003E-2</v>
      </c>
      <c r="P76">
        <v>1.7500000000000002E-2</v>
      </c>
    </row>
    <row r="77" spans="1:16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  <c r="K77" t="s">
        <v>69</v>
      </c>
      <c r="L77">
        <v>1</v>
      </c>
      <c r="M77" t="s">
        <v>67</v>
      </c>
      <c r="N77">
        <v>2E-3</v>
      </c>
      <c r="O77">
        <v>1.4E-2</v>
      </c>
      <c r="P77">
        <v>7.0000000000000001E-3</v>
      </c>
    </row>
    <row r="78" spans="1:16" x14ac:dyDescent="0.25">
      <c r="A78" s="6" t="s">
        <v>33</v>
      </c>
      <c r="B78" s="7"/>
      <c r="C78" s="7"/>
      <c r="D78" s="7"/>
      <c r="E78" s="7"/>
      <c r="F78" s="7"/>
      <c r="G78" s="8"/>
    </row>
    <row r="79" spans="1:16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  <c r="K79" t="s">
        <v>69</v>
      </c>
      <c r="L79">
        <v>2</v>
      </c>
      <c r="M79" t="s">
        <v>67</v>
      </c>
      <c r="N79">
        <v>5</v>
      </c>
      <c r="O79">
        <v>35</v>
      </c>
      <c r="P79">
        <v>17.5</v>
      </c>
    </row>
    <row r="80" spans="1:16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  <c r="K80" t="s">
        <v>69</v>
      </c>
      <c r="L80">
        <v>2</v>
      </c>
      <c r="M80" t="s">
        <v>67</v>
      </c>
      <c r="N80">
        <v>2</v>
      </c>
      <c r="O80">
        <v>14</v>
      </c>
      <c r="P80">
        <v>7</v>
      </c>
    </row>
    <row r="81" spans="1:16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  <c r="K81" t="s">
        <v>69</v>
      </c>
      <c r="L81">
        <v>2</v>
      </c>
      <c r="M81" t="s">
        <v>67</v>
      </c>
      <c r="N81">
        <v>1</v>
      </c>
      <c r="O81">
        <v>7</v>
      </c>
      <c r="P81">
        <v>3.5</v>
      </c>
    </row>
    <row r="82" spans="1:16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  <c r="K82" t="s">
        <v>69</v>
      </c>
      <c r="L82">
        <v>2</v>
      </c>
      <c r="M82" t="s">
        <v>67</v>
      </c>
      <c r="N82">
        <v>0.5</v>
      </c>
      <c r="O82">
        <v>3.5</v>
      </c>
      <c r="P82">
        <v>1.75</v>
      </c>
    </row>
    <row r="83" spans="1:16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  <c r="K83" t="s">
        <v>69</v>
      </c>
      <c r="L83">
        <v>2</v>
      </c>
      <c r="M83" t="s">
        <v>67</v>
      </c>
      <c r="N83">
        <v>0.2</v>
      </c>
      <c r="O83">
        <v>1.4</v>
      </c>
      <c r="P83">
        <v>0.70000000000000007</v>
      </c>
    </row>
    <row r="84" spans="1:16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  <c r="K84" t="s">
        <v>69</v>
      </c>
      <c r="L84">
        <v>2</v>
      </c>
      <c r="M84" t="s">
        <v>67</v>
      </c>
      <c r="N84">
        <v>0.1</v>
      </c>
      <c r="O84">
        <v>0.7</v>
      </c>
      <c r="P84">
        <v>0.35000000000000003</v>
      </c>
    </row>
    <row r="85" spans="1:16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  <c r="K85" t="s">
        <v>69</v>
      </c>
      <c r="L85">
        <v>2</v>
      </c>
      <c r="M85" t="s">
        <v>67</v>
      </c>
      <c r="N85">
        <v>0.05</v>
      </c>
      <c r="O85">
        <v>0.35</v>
      </c>
      <c r="P85">
        <v>0.17500000000000002</v>
      </c>
    </row>
    <row r="86" spans="1:16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  <c r="K86" t="s">
        <v>69</v>
      </c>
      <c r="L86">
        <v>2</v>
      </c>
      <c r="M86" t="s">
        <v>67</v>
      </c>
      <c r="N86">
        <v>0.02</v>
      </c>
      <c r="O86">
        <v>0.14000000000000001</v>
      </c>
      <c r="P86">
        <v>7.0000000000000007E-2</v>
      </c>
    </row>
    <row r="87" spans="1:16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  <c r="K87" t="s">
        <v>69</v>
      </c>
      <c r="L87">
        <v>2</v>
      </c>
      <c r="M87" t="s">
        <v>67</v>
      </c>
      <c r="N87">
        <v>0.01</v>
      </c>
      <c r="O87">
        <v>7.0000000000000007E-2</v>
      </c>
      <c r="P87">
        <v>3.5000000000000003E-2</v>
      </c>
    </row>
    <row r="88" spans="1:16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  <c r="K88" t="s">
        <v>69</v>
      </c>
      <c r="L88">
        <v>2</v>
      </c>
      <c r="M88" t="s">
        <v>67</v>
      </c>
      <c r="N88">
        <v>5.0000000000000001E-3</v>
      </c>
      <c r="O88">
        <v>3.5000000000000003E-2</v>
      </c>
      <c r="P88">
        <v>1.7500000000000002E-2</v>
      </c>
    </row>
    <row r="89" spans="1:16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  <c r="K89" t="s">
        <v>69</v>
      </c>
      <c r="L89">
        <v>2</v>
      </c>
      <c r="M89" t="s">
        <v>67</v>
      </c>
      <c r="N89">
        <v>2E-3</v>
      </c>
      <c r="O89">
        <v>1.4E-2</v>
      </c>
      <c r="P89">
        <v>7.0000000000000001E-3</v>
      </c>
    </row>
    <row r="90" spans="1:16" x14ac:dyDescent="0.25">
      <c r="A90" s="6" t="s">
        <v>34</v>
      </c>
      <c r="B90" s="7"/>
      <c r="C90" s="7"/>
      <c r="D90" s="7"/>
      <c r="E90" s="7"/>
      <c r="F90" s="7"/>
      <c r="G90" s="8"/>
    </row>
    <row r="91" spans="1:16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  <c r="K91" t="s">
        <v>69</v>
      </c>
      <c r="L91">
        <v>3</v>
      </c>
      <c r="M91" t="s">
        <v>67</v>
      </c>
      <c r="N91">
        <v>5</v>
      </c>
      <c r="O91">
        <v>35</v>
      </c>
      <c r="P91">
        <v>17.5</v>
      </c>
    </row>
    <row r="92" spans="1:16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  <c r="K92" t="s">
        <v>69</v>
      </c>
      <c r="L92">
        <v>3</v>
      </c>
      <c r="M92" t="s">
        <v>67</v>
      </c>
      <c r="N92">
        <v>2</v>
      </c>
      <c r="O92">
        <v>14</v>
      </c>
      <c r="P92">
        <v>7</v>
      </c>
    </row>
    <row r="93" spans="1:16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  <c r="K93" t="s">
        <v>69</v>
      </c>
      <c r="L93">
        <v>3</v>
      </c>
      <c r="M93" t="s">
        <v>67</v>
      </c>
      <c r="N93">
        <v>1</v>
      </c>
      <c r="O93">
        <v>7</v>
      </c>
      <c r="P93">
        <v>3.5</v>
      </c>
    </row>
    <row r="94" spans="1:16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  <c r="K94" t="s">
        <v>69</v>
      </c>
      <c r="L94">
        <v>3</v>
      </c>
      <c r="M94" t="s">
        <v>67</v>
      </c>
      <c r="N94">
        <v>0.5</v>
      </c>
      <c r="O94">
        <v>3.5</v>
      </c>
      <c r="P94">
        <v>1.75</v>
      </c>
    </row>
    <row r="95" spans="1:16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  <c r="K95" t="s">
        <v>69</v>
      </c>
      <c r="L95">
        <v>3</v>
      </c>
      <c r="M95" t="s">
        <v>67</v>
      </c>
      <c r="N95">
        <v>0.2</v>
      </c>
      <c r="O95">
        <v>1.4</v>
      </c>
      <c r="P95">
        <v>0.70000000000000007</v>
      </c>
    </row>
    <row r="96" spans="1:16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  <c r="K96" t="s">
        <v>69</v>
      </c>
      <c r="L96">
        <v>3</v>
      </c>
      <c r="M96" t="s">
        <v>67</v>
      </c>
      <c r="N96">
        <v>0.1</v>
      </c>
      <c r="O96">
        <v>0.7</v>
      </c>
      <c r="P96">
        <v>0.35000000000000003</v>
      </c>
    </row>
    <row r="97" spans="1:16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  <c r="K97" t="s">
        <v>69</v>
      </c>
      <c r="L97">
        <v>3</v>
      </c>
      <c r="M97" t="s">
        <v>67</v>
      </c>
      <c r="N97">
        <v>0.05</v>
      </c>
      <c r="O97">
        <v>0.35</v>
      </c>
      <c r="P97">
        <v>0.17500000000000002</v>
      </c>
    </row>
    <row r="98" spans="1:16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  <c r="K98" t="s">
        <v>69</v>
      </c>
      <c r="L98">
        <v>3</v>
      </c>
      <c r="M98" t="s">
        <v>67</v>
      </c>
      <c r="N98">
        <v>0.02</v>
      </c>
      <c r="O98">
        <v>0.14000000000000001</v>
      </c>
      <c r="P98">
        <v>7.0000000000000007E-2</v>
      </c>
    </row>
    <row r="99" spans="1:16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  <c r="K99" t="s">
        <v>69</v>
      </c>
      <c r="L99">
        <v>3</v>
      </c>
      <c r="M99" t="s">
        <v>67</v>
      </c>
      <c r="N99">
        <v>0.01</v>
      </c>
      <c r="O99">
        <v>7.0000000000000007E-2</v>
      </c>
      <c r="P99">
        <v>3.5000000000000003E-2</v>
      </c>
    </row>
    <row r="100" spans="1:16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  <c r="K100" t="s">
        <v>69</v>
      </c>
      <c r="L100">
        <v>3</v>
      </c>
      <c r="M100" t="s">
        <v>67</v>
      </c>
      <c r="N100">
        <v>5.0000000000000001E-3</v>
      </c>
      <c r="O100">
        <v>3.5000000000000003E-2</v>
      </c>
      <c r="P100">
        <v>1.7500000000000002E-2</v>
      </c>
    </row>
    <row r="101" spans="1:16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  <c r="K101" t="s">
        <v>69</v>
      </c>
      <c r="L101">
        <v>3</v>
      </c>
      <c r="M101" t="s">
        <v>67</v>
      </c>
      <c r="N101">
        <v>2E-3</v>
      </c>
      <c r="O101">
        <v>1.4E-2</v>
      </c>
      <c r="P101">
        <v>7.0000000000000001E-3</v>
      </c>
    </row>
    <row r="102" spans="1:16" x14ac:dyDescent="0.25">
      <c r="A102" s="6" t="s">
        <v>35</v>
      </c>
      <c r="B102" s="7"/>
      <c r="C102" s="7"/>
      <c r="D102" s="7"/>
      <c r="E102" s="7"/>
      <c r="F102" s="7"/>
      <c r="G102" s="8"/>
    </row>
    <row r="103" spans="1:16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  <c r="K103" t="s">
        <v>69</v>
      </c>
      <c r="L103">
        <v>4</v>
      </c>
      <c r="M103" t="s">
        <v>67</v>
      </c>
      <c r="N103">
        <v>5</v>
      </c>
      <c r="O103">
        <v>35</v>
      </c>
      <c r="P103">
        <v>17.5</v>
      </c>
    </row>
    <row r="104" spans="1:16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  <c r="K104" t="s">
        <v>69</v>
      </c>
      <c r="L104">
        <v>4</v>
      </c>
      <c r="M104" t="s">
        <v>67</v>
      </c>
      <c r="N104">
        <v>2</v>
      </c>
      <c r="O104">
        <v>14</v>
      </c>
      <c r="P104">
        <v>7</v>
      </c>
    </row>
    <row r="105" spans="1:16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  <c r="K105" t="s">
        <v>69</v>
      </c>
      <c r="L105">
        <v>4</v>
      </c>
      <c r="M105" t="s">
        <v>67</v>
      </c>
      <c r="N105">
        <v>1</v>
      </c>
      <c r="O105">
        <v>7</v>
      </c>
      <c r="P105">
        <v>3.5</v>
      </c>
    </row>
    <row r="106" spans="1:16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  <c r="K106" t="s">
        <v>69</v>
      </c>
      <c r="L106">
        <v>4</v>
      </c>
      <c r="M106" t="s">
        <v>67</v>
      </c>
      <c r="N106">
        <v>0.5</v>
      </c>
      <c r="O106">
        <v>3.5</v>
      </c>
      <c r="P106">
        <v>1.75</v>
      </c>
    </row>
    <row r="107" spans="1:16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  <c r="K107" t="s">
        <v>69</v>
      </c>
      <c r="L107">
        <v>4</v>
      </c>
      <c r="M107" t="s">
        <v>67</v>
      </c>
      <c r="N107">
        <v>0.2</v>
      </c>
      <c r="O107">
        <v>1.4</v>
      </c>
      <c r="P107">
        <v>0.70000000000000007</v>
      </c>
    </row>
    <row r="108" spans="1:16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  <c r="K108" t="s">
        <v>69</v>
      </c>
      <c r="L108">
        <v>4</v>
      </c>
      <c r="M108" t="s">
        <v>67</v>
      </c>
      <c r="N108">
        <v>0.1</v>
      </c>
      <c r="O108">
        <v>0.7</v>
      </c>
      <c r="P108">
        <v>0.35000000000000003</v>
      </c>
    </row>
    <row r="109" spans="1:16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  <c r="K109" t="s">
        <v>69</v>
      </c>
      <c r="L109">
        <v>4</v>
      </c>
      <c r="M109" t="s">
        <v>67</v>
      </c>
      <c r="N109">
        <v>0.05</v>
      </c>
      <c r="O109">
        <v>0.35</v>
      </c>
      <c r="P109">
        <v>0.17500000000000002</v>
      </c>
    </row>
    <row r="110" spans="1:16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  <c r="K110" t="s">
        <v>69</v>
      </c>
      <c r="L110">
        <v>4</v>
      </c>
      <c r="M110" t="s">
        <v>67</v>
      </c>
      <c r="N110">
        <v>0.02</v>
      </c>
      <c r="O110">
        <v>0.14000000000000001</v>
      </c>
      <c r="P110">
        <v>7.0000000000000007E-2</v>
      </c>
    </row>
    <row r="111" spans="1:16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  <c r="K111" t="s">
        <v>69</v>
      </c>
      <c r="L111">
        <v>4</v>
      </c>
      <c r="M111" t="s">
        <v>67</v>
      </c>
      <c r="N111">
        <v>0.01</v>
      </c>
      <c r="O111">
        <v>7.0000000000000007E-2</v>
      </c>
      <c r="P111">
        <v>3.5000000000000003E-2</v>
      </c>
    </row>
    <row r="112" spans="1:16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  <c r="K112" t="s">
        <v>69</v>
      </c>
      <c r="L112">
        <v>4</v>
      </c>
      <c r="M112" t="s">
        <v>67</v>
      </c>
      <c r="N112">
        <v>5.0000000000000001E-3</v>
      </c>
      <c r="O112">
        <v>3.5000000000000003E-2</v>
      </c>
      <c r="P112">
        <v>1.7500000000000002E-2</v>
      </c>
    </row>
    <row r="113" spans="1:16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  <c r="K113" t="s">
        <v>69</v>
      </c>
      <c r="L113">
        <v>4</v>
      </c>
      <c r="M113" t="s">
        <v>67</v>
      </c>
      <c r="N113">
        <v>2E-3</v>
      </c>
      <c r="O113">
        <v>1.4E-2</v>
      </c>
      <c r="P113">
        <v>7.0000000000000001E-3</v>
      </c>
    </row>
    <row r="115" spans="1:16" ht="15.75" x14ac:dyDescent="0.25">
      <c r="A115" s="4" t="s">
        <v>37</v>
      </c>
    </row>
    <row r="116" spans="1:16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16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16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16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16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16" ht="15.75" x14ac:dyDescent="0.25">
      <c r="A122" s="4" t="s">
        <v>38</v>
      </c>
    </row>
    <row r="123" spans="1:16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</row>
    <row r="124" spans="1:16" x14ac:dyDescent="0.25">
      <c r="A124" s="10"/>
      <c r="B124" s="10"/>
      <c r="C124" s="13">
        <f>IFERROR((25+(5*A124)),"Not Done")</f>
        <v>25</v>
      </c>
      <c r="D124" s="10"/>
      <c r="E124" s="10" t="str">
        <f>IF(ISBLANK(B124),"Not Done",IF(B124&lt;=C124,"Pass","Fail"))</f>
        <v>Not Done</v>
      </c>
      <c r="K124" t="s">
        <v>70</v>
      </c>
    </row>
    <row r="126" spans="1:16" ht="15.75" x14ac:dyDescent="0.25">
      <c r="A126" s="4" t="s">
        <v>42</v>
      </c>
    </row>
    <row r="127" spans="1:16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16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2023-01-26T00:20:47Z</dcterms:modified>
</cp:coreProperties>
</file>