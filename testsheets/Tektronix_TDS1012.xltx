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3E1C6713-FBCC-47D9-9972-2456AD4916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Sheet!$A$1:$G$43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1" l="1"/>
  <c r="K32" i="1"/>
  <c r="F30" i="1"/>
  <c r="K28" i="1"/>
  <c r="F26" i="1"/>
  <c r="C26" i="1"/>
  <c r="F25" i="1"/>
  <c r="C25" i="1"/>
  <c r="F24" i="1"/>
  <c r="C24" i="1"/>
  <c r="F22" i="1"/>
  <c r="C22" i="1"/>
  <c r="F21" i="1"/>
  <c r="C21" i="1"/>
  <c r="F20" i="1"/>
  <c r="C20" i="1"/>
  <c r="K17" i="1"/>
  <c r="K13" i="1"/>
</calcChain>
</file>

<file path=xl/sharedStrings.xml><?xml version="1.0" encoding="utf-8"?>
<sst xmlns="http://schemas.openxmlformats.org/spreadsheetml/2006/main" count="85" uniqueCount="55">
  <si>
    <t>EMU Filename:</t>
  </si>
  <si>
    <t>TEK_TDS1012</t>
  </si>
  <si>
    <t>PERFORMANCE TEST CARD (AS RECEIVED AND AS COMPLETED</t>
  </si>
  <si>
    <t>DATE:</t>
  </si>
  <si>
    <t>REPORT NUMBER:</t>
  </si>
  <si>
    <t>MODEL NUMBER:</t>
  </si>
  <si>
    <t>TDS1012</t>
  </si>
  <si>
    <t>DESCRIPTION:</t>
  </si>
  <si>
    <t>Digital Storage 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</si>
  <si>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</si>
  <si>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</si>
  <si>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</si>
  <si>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</si>
  <si>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</si>
  <si>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</si>
  <si>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</si>
  <si>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</si>
  <si>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</si>
  <si>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</si>
  <si>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</si>
  <si>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</si>
  <si>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RFTS_TEKTDS1012</t>
  </si>
  <si>
    <t>ISSUE:</t>
  </si>
  <si>
    <t>A.00.02</t>
  </si>
  <si>
    <t>Self Test</t>
  </si>
  <si>
    <t>Test Parameter</t>
  </si>
  <si>
    <t>Result</t>
  </si>
  <si>
    <t>Pass/Fail</t>
  </si>
  <si>
    <t>Self Calibration</t>
  </si>
  <si>
    <t>PASS/FAIL</t>
  </si>
  <si>
    <t>DC Gain Accuracy</t>
  </si>
  <si>
    <t>Scale</t>
  </si>
  <si>
    <t>Minimum</t>
  </si>
  <si>
    <t>Measured</t>
  </si>
  <si>
    <t>Maximum</t>
  </si>
  <si>
    <t>Units</t>
  </si>
  <si>
    <t>Applied(positive)</t>
  </si>
  <si>
    <t>Vpos</t>
  </si>
  <si>
    <t>Applied(negative)</t>
  </si>
  <si>
    <t>Vneg</t>
  </si>
  <si>
    <t>Channel 1</t>
  </si>
  <si>
    <t>5 mV/div</t>
  </si>
  <si>
    <t>mV</t>
  </si>
  <si>
    <t>200 mV/div</t>
  </si>
  <si>
    <t>V</t>
  </si>
  <si>
    <t>2 V/div</t>
  </si>
  <si>
    <t>Channel 2</t>
  </si>
  <si>
    <t>Sample Rate and Delay Time Accuracy</t>
  </si>
  <si>
    <t>Sample Rate &amp; Delay Time Accuracy</t>
  </si>
  <si>
    <t>divs</t>
  </si>
  <si>
    <t>Edge Trigger Sensitivity</t>
  </si>
  <si>
    <t>Test Parameters</t>
  </si>
  <si>
    <t>Stable Trigger</t>
  </si>
  <si>
    <t>External Edge Trigger Sensitivity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</si>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</sst>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0.0"/>
    <numFmt numFmtId="166" formatCode="0.000"/>
  </numFmts>
  <fonts count="7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  <font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6" fillId="0" borderId="0" xfId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0" borderId="0" xfId="0" applyFont="1"/>
  </cellXfs>
  <cellStyles count="2">
    <cellStyle name="Hyperlink" xfId="1" builtinId="8"/>
    <cellStyle name="Normal" xfId="0" builtinId="0"/>
  </cellStyles>
  <dxfs count="49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43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  <c r="K13" s="5" t="str">
        <f>HYPERLINK("\\hfcalws2\Manual Test Cards\EMU\MUTS/Oscilloscope/TEK_TDS1012/ETE Specification.htm","Procedure")</f>
        <v>Procedure</v>
      </c>
    </row>
    <row r="14" spans="1:11" x14ac:dyDescent="0.25">
      <c r="A14" s="6" t="s">
        <v>25</v>
      </c>
      <c r="B14" s="6" t="s">
        <v>26</v>
      </c>
      <c r="C14" s="6" t="s">
        <v>27</v>
      </c>
    </row>
    <row r="15" spans="1:11" x14ac:dyDescent="0.25">
      <c r="A15" s="7" t="s">
        <v>28</v>
      </c>
      <c r="B15" s="7" t="s">
        <v>29</v>
      </c>
      <c r="C15" s="7"/>
      <c r="J15" t="s">
        <v>29</v>
      </c>
    </row>
    <row r="17" spans="1:15" ht="15.75" x14ac:dyDescent="0.25">
      <c r="A17" s="4" t="s">
        <v>30</v>
      </c>
      <c r="K17" s="5" t="str">
        <f>HYPERLINK("\\hfcalws2\Manual Test Cards\EMU\MUTS/Oscilloscope/TEK_TDS1012/ETE Specification.htm","Procedure")</f>
        <v>Procedure</v>
      </c>
    </row>
    <row r="18" spans="1:15" x14ac:dyDescent="0.25">
      <c r="A18" s="6" t="s">
        <v>31</v>
      </c>
      <c r="B18" s="6" t="s">
        <v>32</v>
      </c>
      <c r="C18" s="6" t="s">
        <v>33</v>
      </c>
      <c r="D18" s="6" t="s">
        <v>34</v>
      </c>
      <c r="E18" s="6" t="s">
        <v>35</v>
      </c>
      <c r="F18" s="6" t="s">
        <v>27</v>
      </c>
      <c r="L18" t="s">
        <v>36</v>
      </c>
      <c r="M18" t="s">
        <v>37</v>
      </c>
      <c r="N18" t="s">
        <v>38</v>
      </c>
      <c r="O18" t="s">
        <v>39</v>
      </c>
    </row>
    <row r="19" spans="1:15" x14ac:dyDescent="0.25">
      <c r="A19" s="8" t="s">
        <v>40</v>
      </c>
      <c r="B19" s="9"/>
      <c r="C19" s="9"/>
      <c r="D19" s="9"/>
      <c r="E19" s="9"/>
      <c r="F19" s="10"/>
    </row>
    <row r="20" spans="1:15" x14ac:dyDescent="0.25">
      <c r="A20" s="7" t="s">
        <v>41</v>
      </c>
      <c r="B20" s="7">
        <v>33.6</v>
      </c>
      <c r="C20" s="11">
        <f>IFERROR((M20-O20),"Not Done")</f>
        <v>0</v>
      </c>
      <c r="D20" s="7">
        <v>36.4</v>
      </c>
      <c r="E20" s="7" t="s">
        <v>42</v>
      </c>
      <c r="F20" s="7" t="str">
        <f>IF(ISBLANK(O20),"Not Done",IF(AND(C20&lt;=D20,C20&gt;=B20),"Pass","Fail"))</f>
        <v>Not Done</v>
      </c>
      <c r="L20">
        <v>17.5</v>
      </c>
      <c r="M20" s="12"/>
      <c r="N20">
        <v>-17.5</v>
      </c>
      <c r="O20" s="12"/>
    </row>
    <row r="21" spans="1:15" x14ac:dyDescent="0.25">
      <c r="A21" s="7" t="s">
        <v>43</v>
      </c>
      <c r="B21" s="7">
        <v>1.3580000000000001</v>
      </c>
      <c r="C21" s="13">
        <f>IFERROR(((M21-O21)/1000),"Not Done")</f>
        <v>0</v>
      </c>
      <c r="D21" s="7">
        <v>1.4419999999999999</v>
      </c>
      <c r="E21" s="7" t="s">
        <v>44</v>
      </c>
      <c r="F21" s="7" t="str">
        <f>IF(ISBLANK(O21),"Not Done",IF(AND(C21&lt;=D21,C21&gt;=B21),"Pass","Fail"))</f>
        <v>Not Done</v>
      </c>
      <c r="L21">
        <v>700</v>
      </c>
      <c r="M21" s="12"/>
      <c r="N21">
        <v>-700</v>
      </c>
      <c r="O21" s="12"/>
    </row>
    <row r="22" spans="1:15" x14ac:dyDescent="0.25">
      <c r="A22" s="7" t="s">
        <v>45</v>
      </c>
      <c r="B22" s="7">
        <v>13.58</v>
      </c>
      <c r="C22" s="14">
        <f>IFERROR((M22-O22),"Not Done")</f>
        <v>0</v>
      </c>
      <c r="D22" s="7">
        <v>14.42</v>
      </c>
      <c r="E22" s="7" t="s">
        <v>44</v>
      </c>
      <c r="F22" s="7" t="str">
        <f>IF(ISBLANK(O22),"Not Done",IF(AND(C22&lt;=D22,C22&gt;=B22),"Pass","Fail"))</f>
        <v>Not Done</v>
      </c>
      <c r="L22">
        <v>7</v>
      </c>
      <c r="M22" s="12"/>
      <c r="N22">
        <v>-7</v>
      </c>
      <c r="O22" s="12"/>
    </row>
    <row r="23" spans="1:15" x14ac:dyDescent="0.25">
      <c r="A23" s="8" t="s">
        <v>46</v>
      </c>
      <c r="B23" s="9"/>
      <c r="C23" s="9"/>
      <c r="D23" s="9"/>
      <c r="E23" s="9"/>
      <c r="F23" s="10"/>
    </row>
    <row r="24" spans="1:15" x14ac:dyDescent="0.25">
      <c r="A24" s="7" t="s">
        <v>41</v>
      </c>
      <c r="B24" s="7">
        <v>33.6</v>
      </c>
      <c r="C24" s="11">
        <f>IFERROR((M24-O24),"Not Done")</f>
        <v>0</v>
      </c>
      <c r="D24" s="7">
        <v>36.4</v>
      </c>
      <c r="E24" s="7" t="s">
        <v>42</v>
      </c>
      <c r="F24" s="7" t="str">
        <f>IF(ISBLANK(O24),"Not Done",IF(AND(C24&lt;=D24,C24&gt;=B24),"Pass","Fail"))</f>
        <v>Not Done</v>
      </c>
      <c r="L24">
        <v>17.5</v>
      </c>
      <c r="M24" s="12"/>
      <c r="N24">
        <v>-17.5</v>
      </c>
      <c r="O24" s="12"/>
    </row>
    <row r="25" spans="1:15" x14ac:dyDescent="0.25">
      <c r="A25" s="7" t="s">
        <v>43</v>
      </c>
      <c r="B25" s="7">
        <v>1.3580000000000001</v>
      </c>
      <c r="C25" s="13">
        <f>IFERROR(((M25-O25)/1000),"Not Done")</f>
        <v>0</v>
      </c>
      <c r="D25" s="7">
        <v>1.4419999999999999</v>
      </c>
      <c r="E25" s="7" t="s">
        <v>44</v>
      </c>
      <c r="F25" s="7" t="str">
        <f>IF(ISBLANK(O25),"Not Done",IF(AND(C25&lt;=D25,C25&gt;=B25),"Pass","Fail"))</f>
        <v>Not Done</v>
      </c>
      <c r="L25">
        <v>700</v>
      </c>
      <c r="M25" s="12"/>
      <c r="N25">
        <v>-700</v>
      </c>
      <c r="O25" s="12"/>
    </row>
    <row r="26" spans="1:15" x14ac:dyDescent="0.25">
      <c r="A26" s="7" t="s">
        <v>45</v>
      </c>
      <c r="B26" s="7">
        <v>13.58</v>
      </c>
      <c r="C26" s="14">
        <f>IFERROR((M26-O26),"Not Done")</f>
        <v>0</v>
      </c>
      <c r="D26" s="7">
        <v>14.42</v>
      </c>
      <c r="E26" s="7" t="s">
        <v>44</v>
      </c>
      <c r="F26" s="7" t="str">
        <f>IF(ISBLANK(O26),"Not Done",IF(AND(C26&lt;=D26,C26&gt;=B26),"Pass","Fail"))</f>
        <v>Not Done</v>
      </c>
      <c r="L26">
        <v>7</v>
      </c>
      <c r="M26" s="12"/>
      <c r="N26">
        <v>-7</v>
      </c>
      <c r="O26" s="12"/>
    </row>
    <row r="28" spans="1:15" ht="15.75" x14ac:dyDescent="0.25">
      <c r="A28" s="4" t="s">
        <v>47</v>
      </c>
      <c r="K28" s="5" t="str">
        <f>HYPERLINK("\\hfcalws2\Manual Test Cards\EMU\MUTS/Oscilloscope/TEK_TDS1012/ETE Specification.htm","Procedure")</f>
        <v>Procedure</v>
      </c>
    </row>
    <row r="29" spans="1:15" x14ac:dyDescent="0.25">
      <c r="A29" s="6" t="s">
        <v>25</v>
      </c>
      <c r="B29" s="6" t="s">
        <v>32</v>
      </c>
      <c r="C29" s="6" t="s">
        <v>33</v>
      </c>
      <c r="D29" s="6" t="s">
        <v>34</v>
      </c>
      <c r="E29" s="6" t="s">
        <v>35</v>
      </c>
      <c r="F29" s="6" t="s">
        <v>27</v>
      </c>
    </row>
    <row r="30" spans="1:15" x14ac:dyDescent="0.25">
      <c r="A30" s="7" t="s">
        <v>48</v>
      </c>
      <c r="B30" s="7">
        <v>-2</v>
      </c>
      <c r="C30" s="7"/>
      <c r="D30" s="7">
        <v>2</v>
      </c>
      <c r="E30" s="7" t="s">
        <v>49</v>
      </c>
      <c r="F30" s="7" t="str">
        <f>IF(ISBLANK(C30),"Not Done",IF(AND(C30&lt;=D30,C30&gt;=B30),"Pass","Fail"))</f>
        <v>Not Done</v>
      </c>
    </row>
    <row r="32" spans="1:15" ht="15.75" x14ac:dyDescent="0.25">
      <c r="A32" s="4" t="s">
        <v>50</v>
      </c>
      <c r="K32" s="5" t="str">
        <f>HYPERLINK("\\hfcalws2\Manual Test Cards\EMU\MUTS/Oscilloscope/TEK_TDS1012/ETE Specification.htm","Procedure")</f>
        <v>Procedure</v>
      </c>
    </row>
    <row r="33" spans="1:11" x14ac:dyDescent="0.25">
      <c r="A33" s="6" t="s">
        <v>51</v>
      </c>
      <c r="B33" s="6" t="s">
        <v>26</v>
      </c>
      <c r="C33" s="6" t="s">
        <v>27</v>
      </c>
    </row>
    <row r="34" spans="1:11" x14ac:dyDescent="0.25">
      <c r="A34" s="8" t="s">
        <v>40</v>
      </c>
      <c r="B34" s="9"/>
      <c r="C34" s="10"/>
    </row>
    <row r="35" spans="1:11" x14ac:dyDescent="0.25">
      <c r="A35" s="7" t="s">
        <v>52</v>
      </c>
      <c r="B35" s="7" t="s">
        <v>29</v>
      </c>
      <c r="C35" s="7"/>
      <c r="J35" t="s">
        <v>29</v>
      </c>
    </row>
    <row r="36" spans="1:11" x14ac:dyDescent="0.25">
      <c r="A36" s="8" t="s">
        <v>46</v>
      </c>
      <c r="B36" s="9"/>
      <c r="C36" s="10"/>
    </row>
    <row r="37" spans="1:11" x14ac:dyDescent="0.25">
      <c r="A37" s="7" t="s">
        <v>52</v>
      </c>
      <c r="B37" s="7" t="s">
        <v>29</v>
      </c>
      <c r="C37" s="7"/>
      <c r="J37" t="s">
        <v>29</v>
      </c>
    </row>
    <row r="39" spans="1:11" ht="15.75" x14ac:dyDescent="0.25">
      <c r="A39" s="4" t="s">
        <v>53</v>
      </c>
      <c r="K39" s="5" t="str">
        <f>HYPERLINK("\\hfcalws2\Manual Test Cards\EMU\MUTS/Oscilloscope/TEK_TDS1012/ETE Specification.htm","Procedure")</f>
        <v>Procedure</v>
      </c>
    </row>
    <row r="40" spans="1:11" x14ac:dyDescent="0.25">
      <c r="A40" s="6" t="s">
        <v>51</v>
      </c>
      <c r="B40" s="6" t="s">
        <v>26</v>
      </c>
      <c r="C40" s="6" t="s">
        <v>27</v>
      </c>
    </row>
    <row r="41" spans="1:11" x14ac:dyDescent="0.25">
      <c r="A41" s="7" t="s">
        <v>52</v>
      </c>
      <c r="B41" s="7" t="s">
        <v>29</v>
      </c>
      <c r="C41" s="7"/>
      <c r="J41" t="s">
        <v>29</v>
      </c>
    </row>
    <row r="43" spans="1:11" x14ac:dyDescent="0.25">
      <c r="C43" s="15" t="s">
        <v>54</v>
      </c>
    </row>
  </sheetData>
  <conditionalFormatting sqref="B5">
    <cfRule type="containsText" dxfId="48" priority="1" operator="containsText" text="highlight">
      <formula>ISBLANK(B5)</formula>
    </cfRule>
  </conditionalFormatting>
  <conditionalFormatting sqref="F5">
    <cfRule type="containsText" dxfId="47" priority="2" operator="containsText" text="highlight">
      <formula>ISBLANK(F5)</formula>
    </cfRule>
  </conditionalFormatting>
  <conditionalFormatting sqref="B7">
    <cfRule type="containsText" dxfId="46" priority="3" operator="containsText" text="highlight">
      <formula>ISBLANK(B7)</formula>
    </cfRule>
  </conditionalFormatting>
  <conditionalFormatting sqref="F9">
    <cfRule type="containsText" dxfId="45" priority="4" operator="containsText" text="highlight">
      <formula>ISBLANK(F9)</formula>
    </cfRule>
  </conditionalFormatting>
  <conditionalFormatting sqref="B11">
    <cfRule type="containsText" dxfId="44" priority="5" operator="containsText" text="highlight">
      <formula>ISBLANK(B11)</formula>
    </cfRule>
  </conditionalFormatting>
  <conditionalFormatting sqref="F10">
    <cfRule type="containsText" dxfId="43" priority="6" operator="containsText" text="highlight">
      <formula>ISBLANK(F10)</formula>
    </cfRule>
  </conditionalFormatting>
  <conditionalFormatting sqref="B15">
    <cfRule type="containsText" dxfId="42" priority="7" operator="containsText" text="highlight">
      <formula>ISBLANK(B15)</formula>
    </cfRule>
  </conditionalFormatting>
  <conditionalFormatting sqref="C15">
    <cfRule type="containsText" dxfId="41" priority="8" operator="containsText" text="highlight">
      <formula>ISBLANK(C15)</formula>
    </cfRule>
    <cfRule type="containsText" dxfId="40" priority="9" operator="containsText" text="highlight">
      <formula>C15="Fail"</formula>
    </cfRule>
    <cfRule type="containsText" dxfId="39" priority="10" operator="containsText" text="highlight">
      <formula>C15="Pass"</formula>
    </cfRule>
  </conditionalFormatting>
  <conditionalFormatting sqref="M20">
    <cfRule type="containsText" dxfId="38" priority="11" operator="containsText" text="highlight">
      <formula>ISBLANK(M20)</formula>
    </cfRule>
  </conditionalFormatting>
  <conditionalFormatting sqref="O20">
    <cfRule type="containsText" dxfId="37" priority="12" operator="containsText" text="highlight">
      <formula>ISBLANK(O20)</formula>
    </cfRule>
  </conditionalFormatting>
  <conditionalFormatting sqref="F20">
    <cfRule type="containsText" dxfId="36" priority="13" operator="containsText" text="highlight">
      <formula>F20="Fail"</formula>
    </cfRule>
    <cfRule type="containsText" dxfId="35" priority="14" operator="containsText" text="highlight">
      <formula>F20="Pass"</formula>
    </cfRule>
  </conditionalFormatting>
  <conditionalFormatting sqref="M21">
    <cfRule type="containsText" dxfId="34" priority="15" operator="containsText" text="highlight">
      <formula>ISBLANK(M21)</formula>
    </cfRule>
  </conditionalFormatting>
  <conditionalFormatting sqref="O21">
    <cfRule type="containsText" dxfId="33" priority="16" operator="containsText" text="highlight">
      <formula>ISBLANK(O21)</formula>
    </cfRule>
  </conditionalFormatting>
  <conditionalFormatting sqref="F21">
    <cfRule type="containsText" dxfId="32" priority="17" operator="containsText" text="highlight">
      <formula>F21="Fail"</formula>
    </cfRule>
    <cfRule type="containsText" dxfId="31" priority="18" operator="containsText" text="highlight">
      <formula>F21="Pass"</formula>
    </cfRule>
  </conditionalFormatting>
  <conditionalFormatting sqref="M22">
    <cfRule type="containsText" dxfId="30" priority="19" operator="containsText" text="highlight">
      <formula>ISBLANK(M22)</formula>
    </cfRule>
  </conditionalFormatting>
  <conditionalFormatting sqref="O22">
    <cfRule type="containsText" dxfId="29" priority="20" operator="containsText" text="highlight">
      <formula>ISBLANK(O22)</formula>
    </cfRule>
  </conditionalFormatting>
  <conditionalFormatting sqref="F22">
    <cfRule type="containsText" dxfId="28" priority="21" operator="containsText" text="highlight">
      <formula>F22="Fail"</formula>
    </cfRule>
    <cfRule type="containsText" dxfId="27" priority="22" operator="containsText" text="highlight">
      <formula>F22="Pass"</formula>
    </cfRule>
  </conditionalFormatting>
  <conditionalFormatting sqref="M24">
    <cfRule type="containsText" dxfId="26" priority="23" operator="containsText" text="highlight">
      <formula>ISBLANK(M24)</formula>
    </cfRule>
  </conditionalFormatting>
  <conditionalFormatting sqref="O24">
    <cfRule type="containsText" dxfId="25" priority="24" operator="containsText" text="highlight">
      <formula>ISBLANK(O24)</formula>
    </cfRule>
  </conditionalFormatting>
  <conditionalFormatting sqref="F24">
    <cfRule type="containsText" dxfId="24" priority="25" operator="containsText" text="highlight">
      <formula>F24="Fail"</formula>
    </cfRule>
    <cfRule type="containsText" dxfId="23" priority="26" operator="containsText" text="highlight">
      <formula>F24="Pass"</formula>
    </cfRule>
  </conditionalFormatting>
  <conditionalFormatting sqref="M25">
    <cfRule type="containsText" dxfId="22" priority="27" operator="containsText" text="highlight">
      <formula>ISBLANK(M25)</formula>
    </cfRule>
  </conditionalFormatting>
  <conditionalFormatting sqref="O25">
    <cfRule type="containsText" dxfId="21" priority="28" operator="containsText" text="highlight">
      <formula>ISBLANK(O25)</formula>
    </cfRule>
  </conditionalFormatting>
  <conditionalFormatting sqref="F25">
    <cfRule type="containsText" dxfId="20" priority="29" operator="containsText" text="highlight">
      <formula>F25="Fail"</formula>
    </cfRule>
    <cfRule type="containsText" dxfId="19" priority="30" operator="containsText" text="highlight">
      <formula>F25="Pass"</formula>
    </cfRule>
  </conditionalFormatting>
  <conditionalFormatting sqref="M26">
    <cfRule type="containsText" dxfId="18" priority="31" operator="containsText" text="highlight">
      <formula>ISBLANK(M26)</formula>
    </cfRule>
  </conditionalFormatting>
  <conditionalFormatting sqref="O26">
    <cfRule type="containsText" dxfId="17" priority="32" operator="containsText" text="highlight">
      <formula>ISBLANK(O26)</formula>
    </cfRule>
  </conditionalFormatting>
  <conditionalFormatting sqref="F26">
    <cfRule type="containsText" dxfId="16" priority="33" operator="containsText" text="highlight">
      <formula>F26="Fail"</formula>
    </cfRule>
    <cfRule type="containsText" dxfId="15" priority="34" operator="containsText" text="highlight">
      <formula>F26="Pass"</formula>
    </cfRule>
  </conditionalFormatting>
  <conditionalFormatting sqref="C30">
    <cfRule type="containsText" dxfId="14" priority="35" operator="containsText" text="highlight">
      <formula>ISBLANK(C30)</formula>
    </cfRule>
  </conditionalFormatting>
  <conditionalFormatting sqref="F30">
    <cfRule type="containsText" dxfId="13" priority="36" operator="containsText" text="highlight">
      <formula>F30="Fail"</formula>
    </cfRule>
    <cfRule type="containsText" dxfId="12" priority="37" operator="containsText" text="highlight">
      <formula>F30="Pass"</formula>
    </cfRule>
  </conditionalFormatting>
  <conditionalFormatting sqref="B35">
    <cfRule type="containsText" dxfId="11" priority="38" operator="containsText" text="highlight">
      <formula>ISBLANK(B35)</formula>
    </cfRule>
  </conditionalFormatting>
  <conditionalFormatting sqref="C35">
    <cfRule type="containsText" dxfId="10" priority="39" operator="containsText" text="highlight">
      <formula>ISBLANK(C35)</formula>
    </cfRule>
    <cfRule type="containsText" dxfId="9" priority="40" operator="containsText" text="highlight">
      <formula>C35="Fail"</formula>
    </cfRule>
    <cfRule type="containsText" dxfId="8" priority="41" operator="containsText" text="highlight">
      <formula>C35="Pass"</formula>
    </cfRule>
  </conditionalFormatting>
  <conditionalFormatting sqref="B37">
    <cfRule type="containsText" dxfId="7" priority="42" operator="containsText" text="highlight">
      <formula>ISBLANK(B37)</formula>
    </cfRule>
  </conditionalFormatting>
  <conditionalFormatting sqref="C37">
    <cfRule type="containsText" dxfId="6" priority="43" operator="containsText" text="highlight">
      <formula>ISBLANK(C37)</formula>
    </cfRule>
    <cfRule type="containsText" dxfId="5" priority="44" operator="containsText" text="highlight">
      <formula>C37="Fail"</formula>
    </cfRule>
    <cfRule type="containsText" dxfId="4" priority="45" operator="containsText" text="highlight">
      <formula>C37="Pass"</formula>
    </cfRule>
  </conditionalFormatting>
  <conditionalFormatting sqref="B41">
    <cfRule type="containsText" dxfId="3" priority="46" operator="containsText" text="highlight">
      <formula>ISBLANK(B41)</formula>
    </cfRule>
  </conditionalFormatting>
  <conditionalFormatting sqref="C41">
    <cfRule type="containsText" dxfId="2" priority="47" operator="containsText" text="highlight">
      <formula>ISBLANK(C41)</formula>
    </cfRule>
    <cfRule type="containsText" dxfId="1" priority="48" operator="containsText" text="highlight">
      <formula>C41="Fail"</formula>
    </cfRule>
    <cfRule type="containsText" dxfId="0" priority="49" operator="containsText" text="highlight">
      <formula>C41="Pass"</formula>
    </cfRule>
  </conditionalFormatting>
  <pageMargins left="0.75" right="0.75" top="1" bottom="1" header="0.5" footer="0.5"/>
  <pageSetup paperSize="9" scale="70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2022-12-14T04:58:08Z</dcterms:modified>
</cp:coreProperties>
</file>